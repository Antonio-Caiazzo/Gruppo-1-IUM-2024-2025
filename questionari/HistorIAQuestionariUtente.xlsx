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nisalerno-my.sharepoint.com/personal/e_iovane2_studenti_unisa_it/Documents/università/IUM/Progetto/assignment/"/>
    </mc:Choice>
  </mc:AlternateContent>
  <xr:revisionPtr revIDLastSave="24" documentId="13_ncr:1_{3AA0C2F7-38CA-4C2A-983F-3A2E50F0B2D1}" xr6:coauthVersionLast="47" xr6:coauthVersionMax="47" xr10:uidLastSave="{5319BD1A-76E8-4ABA-B77A-6AE6A4FBCCD9}"/>
  <bookViews>
    <workbookView xWindow="-108" yWindow="-108" windowWidth="23256" windowHeight="12456" firstSheet="1" activeTab="7" xr2:uid="{00000000-000D-0000-FFFF-FFFF00000000}"/>
  </bookViews>
  <sheets>
    <sheet name="BEHAVIOURABILITY" sheetId="1" r:id="rId1"/>
    <sheet name="Quest.Dustin" sheetId="2" r:id="rId2"/>
    <sheet name="Quest.Undici" sheetId="3" r:id="rId3"/>
    <sheet name="Quest.MrClark" sheetId="4" r:id="rId4"/>
    <sheet name="Quest.Erica" sheetId="5" r:id="rId5"/>
    <sheet name="Quest.Joyce" sheetId="6" r:id="rId6"/>
    <sheet name="MEDIE" sheetId="7" r:id="rId7"/>
    <sheet name="TabRisultati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nyMCpgHN7ZsxEN0sIpHb6USYukCsp3kzUi9mOnsw7+U="/>
    </ext>
  </extLst>
</workbook>
</file>

<file path=xl/calcChain.xml><?xml version="1.0" encoding="utf-8"?>
<calcChain xmlns="http://schemas.openxmlformats.org/spreadsheetml/2006/main">
  <c r="C9" i="8" l="1"/>
  <c r="D10" i="8"/>
  <c r="B2" i="8"/>
  <c r="H2" i="2"/>
  <c r="C2" i="7"/>
  <c r="C5" i="7" s="1"/>
  <c r="C38" i="7"/>
  <c r="H2" i="4"/>
  <c r="C105" i="7"/>
  <c r="C103" i="7"/>
  <c r="C102" i="7"/>
  <c r="C104" i="7" s="1"/>
  <c r="D13" i="8" s="1"/>
  <c r="C35" i="7"/>
  <c r="C34" i="7"/>
  <c r="C7" i="7"/>
  <c r="C6" i="7"/>
  <c r="C8" i="7" s="1"/>
  <c r="C2" i="8" s="1"/>
  <c r="C4" i="7"/>
  <c r="C3" i="7"/>
  <c r="H7" i="6"/>
  <c r="C106" i="7" s="1"/>
  <c r="H6" i="6"/>
  <c r="H4" i="6"/>
  <c r="H3" i="6"/>
  <c r="H86" i="5"/>
  <c r="H85" i="5"/>
  <c r="H83" i="5"/>
  <c r="H82" i="5"/>
  <c r="H80" i="5"/>
  <c r="H78" i="5"/>
  <c r="H75" i="5"/>
  <c r="H74" i="5"/>
  <c r="H72" i="5"/>
  <c r="H71" i="5"/>
  <c r="H69" i="5"/>
  <c r="H67" i="5"/>
  <c r="H66" i="5"/>
  <c r="H63" i="5"/>
  <c r="C57" i="7" s="1"/>
  <c r="H62" i="5"/>
  <c r="C56" i="7" s="1"/>
  <c r="H61" i="5"/>
  <c r="C55" i="7" s="1"/>
  <c r="H59" i="5"/>
  <c r="C53" i="7" s="1"/>
  <c r="H58" i="5"/>
  <c r="C52" i="7" s="1"/>
  <c r="C54" i="7" s="1"/>
  <c r="D8" i="8" s="1"/>
  <c r="H56" i="5"/>
  <c r="C50" i="7" s="1"/>
  <c r="C51" i="7" s="1"/>
  <c r="C8" i="8" s="1"/>
  <c r="H53" i="5"/>
  <c r="H52" i="5"/>
  <c r="H50" i="5"/>
  <c r="H49" i="5"/>
  <c r="H48" i="5"/>
  <c r="H45" i="5"/>
  <c r="H44" i="5"/>
  <c r="H42" i="5"/>
  <c r="H41" i="5"/>
  <c r="H38" i="5"/>
  <c r="H37" i="5"/>
  <c r="H36" i="5"/>
  <c r="H34" i="5"/>
  <c r="H33" i="5"/>
  <c r="H32" i="5"/>
  <c r="H30" i="5"/>
  <c r="H27" i="5"/>
  <c r="H26" i="5"/>
  <c r="H24" i="5"/>
  <c r="H23" i="5"/>
  <c r="H21" i="5"/>
  <c r="C19" i="7" s="1"/>
  <c r="H20" i="5"/>
  <c r="C18" i="7" s="1"/>
  <c r="C20" i="7" s="1"/>
  <c r="B4" i="8" s="1"/>
  <c r="H17" i="5"/>
  <c r="H16" i="5"/>
  <c r="H14" i="5"/>
  <c r="H12" i="5"/>
  <c r="H11" i="5"/>
  <c r="H10" i="5"/>
  <c r="H7" i="5"/>
  <c r="H6" i="5"/>
  <c r="H3" i="5"/>
  <c r="H2" i="5"/>
  <c r="H53" i="4"/>
  <c r="C100" i="7" s="1"/>
  <c r="H52" i="4"/>
  <c r="C99" i="7" s="1"/>
  <c r="C101" i="7" s="1"/>
  <c r="E12" i="8" s="1"/>
  <c r="H50" i="4"/>
  <c r="H49" i="4"/>
  <c r="H47" i="4"/>
  <c r="H45" i="4"/>
  <c r="H42" i="4"/>
  <c r="C90" i="7" s="1"/>
  <c r="H41" i="4"/>
  <c r="C89" i="7" s="1"/>
  <c r="H39" i="4"/>
  <c r="C87" i="7" s="1"/>
  <c r="H38" i="4"/>
  <c r="C86" i="7" s="1"/>
  <c r="H36" i="4"/>
  <c r="C84" i="7" s="1"/>
  <c r="C85" i="7" s="1"/>
  <c r="C11" i="8" s="1"/>
  <c r="H34" i="4"/>
  <c r="C82" i="7" s="1"/>
  <c r="H33" i="4"/>
  <c r="C81" i="7" s="1"/>
  <c r="H30" i="4"/>
  <c r="C79" i="7" s="1"/>
  <c r="H29" i="4"/>
  <c r="C78" i="7" s="1"/>
  <c r="C80" i="7" s="1"/>
  <c r="E10" i="8" s="1"/>
  <c r="H27" i="4"/>
  <c r="C76" i="7" s="1"/>
  <c r="H26" i="4"/>
  <c r="C75" i="7" s="1"/>
  <c r="C77" i="7" s="1"/>
  <c r="H24" i="4"/>
  <c r="C73" i="7" s="1"/>
  <c r="C74" i="7" s="1"/>
  <c r="C10" i="8" s="1"/>
  <c r="H22" i="4"/>
  <c r="C71" i="7" s="1"/>
  <c r="H21" i="4"/>
  <c r="C70" i="7" s="1"/>
  <c r="H18" i="4"/>
  <c r="C68" i="7" s="1"/>
  <c r="H17" i="4"/>
  <c r="C67" i="7" s="1"/>
  <c r="H15" i="4"/>
  <c r="H14" i="4"/>
  <c r="H12" i="4"/>
  <c r="H10" i="4"/>
  <c r="H9" i="4"/>
  <c r="H6" i="4"/>
  <c r="H5" i="4"/>
  <c r="H3" i="4"/>
  <c r="H86" i="3"/>
  <c r="H85" i="3"/>
  <c r="H83" i="3"/>
  <c r="H82" i="3"/>
  <c r="H80" i="3"/>
  <c r="H78" i="3"/>
  <c r="H75" i="3"/>
  <c r="H74" i="3"/>
  <c r="H72" i="3"/>
  <c r="H71" i="3"/>
  <c r="H69" i="3"/>
  <c r="H67" i="3"/>
  <c r="H66" i="3"/>
  <c r="H63" i="3"/>
  <c r="H62" i="3"/>
  <c r="H61" i="3"/>
  <c r="H59" i="3"/>
  <c r="H58" i="3"/>
  <c r="H56" i="3"/>
  <c r="H53" i="3"/>
  <c r="H52" i="3"/>
  <c r="H50" i="3"/>
  <c r="H49" i="3"/>
  <c r="H48" i="3"/>
  <c r="C43" i="7" s="1"/>
  <c r="H45" i="3"/>
  <c r="H44" i="3"/>
  <c r="H42" i="3"/>
  <c r="H41" i="3"/>
  <c r="H38" i="3"/>
  <c r="H37" i="3"/>
  <c r="H36" i="3"/>
  <c r="H34" i="3"/>
  <c r="H33" i="3"/>
  <c r="H32" i="3"/>
  <c r="H30" i="3"/>
  <c r="H27" i="3"/>
  <c r="H26" i="3"/>
  <c r="H24" i="3"/>
  <c r="H23" i="3"/>
  <c r="C21" i="7" s="1"/>
  <c r="H21" i="3"/>
  <c r="H20" i="3"/>
  <c r="H17" i="3"/>
  <c r="C16" i="7" s="1"/>
  <c r="H16" i="3"/>
  <c r="H14" i="3"/>
  <c r="H12" i="3"/>
  <c r="H11" i="3"/>
  <c r="H10" i="3"/>
  <c r="H7" i="3"/>
  <c r="H6" i="3"/>
  <c r="H4" i="3"/>
  <c r="H3" i="3"/>
  <c r="H2" i="3"/>
  <c r="H86" i="2"/>
  <c r="H85" i="2"/>
  <c r="H83" i="2"/>
  <c r="H82" i="2"/>
  <c r="C96" i="7" s="1"/>
  <c r="H80" i="2"/>
  <c r="H78" i="2"/>
  <c r="H75" i="2"/>
  <c r="H74" i="2"/>
  <c r="H72" i="2"/>
  <c r="H71" i="2"/>
  <c r="H69" i="2"/>
  <c r="H67" i="2"/>
  <c r="H66" i="2"/>
  <c r="H63" i="2"/>
  <c r="H62" i="2"/>
  <c r="H61" i="2"/>
  <c r="H59" i="2"/>
  <c r="H58" i="2"/>
  <c r="H56" i="2"/>
  <c r="H53" i="2"/>
  <c r="C48" i="7" s="1"/>
  <c r="H52" i="2"/>
  <c r="C47" i="7" s="1"/>
  <c r="C49" i="7" s="1"/>
  <c r="E7" i="8" s="1"/>
  <c r="H50" i="2"/>
  <c r="C45" i="7" s="1"/>
  <c r="H49" i="2"/>
  <c r="C44" i="7" s="1"/>
  <c r="H48" i="2"/>
  <c r="H45" i="2"/>
  <c r="H44" i="2"/>
  <c r="H42" i="2"/>
  <c r="H41" i="2"/>
  <c r="H38" i="2"/>
  <c r="H37" i="2"/>
  <c r="H36" i="2"/>
  <c r="C33" i="7" s="1"/>
  <c r="H34" i="2"/>
  <c r="C31" i="7" s="1"/>
  <c r="H33" i="2"/>
  <c r="C30" i="7" s="1"/>
  <c r="H32" i="2"/>
  <c r="C29" i="7" s="1"/>
  <c r="C32" i="7" s="1"/>
  <c r="D5" i="8" s="1"/>
  <c r="H30" i="2"/>
  <c r="C27" i="7" s="1"/>
  <c r="C28" i="7" s="1"/>
  <c r="C5" i="8" s="1"/>
  <c r="H27" i="2"/>
  <c r="C25" i="7" s="1"/>
  <c r="H26" i="2"/>
  <c r="C24" i="7" s="1"/>
  <c r="C26" i="7" s="1"/>
  <c r="E4" i="8" s="1"/>
  <c r="H24" i="2"/>
  <c r="C22" i="7" s="1"/>
  <c r="H23" i="2"/>
  <c r="H21" i="2"/>
  <c r="H20" i="2"/>
  <c r="H17" i="2"/>
  <c r="H16" i="2"/>
  <c r="H14" i="2"/>
  <c r="H12" i="2"/>
  <c r="C11" i="7" s="1"/>
  <c r="H11" i="2"/>
  <c r="C10" i="7" s="1"/>
  <c r="H10" i="2"/>
  <c r="C9" i="7" s="1"/>
  <c r="C12" i="7" s="1"/>
  <c r="B3" i="8" s="1"/>
  <c r="H7" i="2"/>
  <c r="H6" i="2"/>
  <c r="H4" i="2"/>
  <c r="H3" i="2"/>
  <c r="C58" i="7" l="1"/>
  <c r="E8" i="8" s="1"/>
  <c r="C36" i="7"/>
  <c r="E5" i="8" s="1"/>
  <c r="C13" i="7"/>
  <c r="C14" i="7" s="1"/>
  <c r="C3" i="8" s="1"/>
  <c r="C15" i="7"/>
  <c r="C17" i="7" s="1"/>
  <c r="E3" i="8" s="1"/>
  <c r="C94" i="7"/>
  <c r="C95" i="7" s="1"/>
  <c r="C12" i="8" s="1"/>
  <c r="C65" i="7"/>
  <c r="C91" i="7"/>
  <c r="E11" i="8" s="1"/>
  <c r="C92" i="7"/>
  <c r="C93" i="7" s="1"/>
  <c r="C83" i="7"/>
  <c r="B11" i="8" s="1"/>
  <c r="C40" i="7"/>
  <c r="C37" i="7"/>
  <c r="C72" i="7"/>
  <c r="B10" i="8" s="1"/>
  <c r="C97" i="7"/>
  <c r="C98" i="7" s="1"/>
  <c r="D12" i="8" s="1"/>
  <c r="C41" i="7"/>
  <c r="C59" i="7"/>
  <c r="C60" i="7"/>
  <c r="C62" i="7"/>
  <c r="C63" i="7" s="1"/>
  <c r="C69" i="7"/>
  <c r="E9" i="8" s="1"/>
  <c r="C64" i="7"/>
  <c r="C46" i="7"/>
  <c r="B7" i="8" s="1"/>
  <c r="C23" i="7"/>
  <c r="C4" i="8" s="1"/>
  <c r="C88" i="7"/>
  <c r="D11" i="8" s="1"/>
  <c r="C107" i="7"/>
  <c r="E13" i="8" s="1"/>
  <c r="C66" i="7" l="1"/>
  <c r="D9" i="8" s="1"/>
  <c r="C42" i="7"/>
  <c r="D6" i="8" s="1"/>
  <c r="B12" i="8"/>
  <c r="C39" i="7"/>
  <c r="C6" i="8" s="1"/>
  <c r="C61" i="7"/>
  <c r="B9" i="8" s="1"/>
</calcChain>
</file>

<file path=xl/sharedStrings.xml><?xml version="1.0" encoding="utf-8"?>
<sst xmlns="http://schemas.openxmlformats.org/spreadsheetml/2006/main" count="1050" uniqueCount="202">
  <si>
    <t>TASK</t>
  </si>
  <si>
    <t>Decision Making</t>
  </si>
  <si>
    <t xml:space="preserve">Self-Management </t>
  </si>
  <si>
    <t xml:space="preserve">Communication </t>
  </si>
  <si>
    <t>Engagement</t>
  </si>
  <si>
    <t>TASK T1 Selezionare un periodo storico</t>
  </si>
  <si>
    <t>SE, K&amp;S</t>
  </si>
  <si>
    <t>TASK T2 Avviare una conversazione</t>
  </si>
  <si>
    <t>SE, MOT</t>
  </si>
  <si>
    <t>MOT</t>
  </si>
  <si>
    <t>TASK T3 Condurre una conversazione con un personaggio</t>
  </si>
  <si>
    <t>MOT, K&amp;S</t>
  </si>
  <si>
    <t>TASK T4 Partecipare a quiz</t>
  </si>
  <si>
    <t>K&amp;S</t>
  </si>
  <si>
    <t>PC, MOT</t>
  </si>
  <si>
    <t>TASK T5 Salvare o rivedere una conversazione utile</t>
  </si>
  <si>
    <t>PC, K&amp;S</t>
  </si>
  <si>
    <t>TASK T6 Condividere una conversazione con compagni o insegnanti</t>
  </si>
  <si>
    <t>TASK T7 Ricevere feedback e premi virtuali</t>
  </si>
  <si>
    <t>TASK T8 Visualizzare le domande assegnate dall'insegnante</t>
  </si>
  <si>
    <t>TASK T9 Creare una classe virtuale</t>
  </si>
  <si>
    <t>TASK T10 Assegnare domande alla classe</t>
  </si>
  <si>
    <t>PC</t>
  </si>
  <si>
    <t>TASK T11 Partecipare ad una classe virtuale</t>
  </si>
  <si>
    <t>TASK T12 Seguire lo studio del figlio</t>
  </si>
  <si>
    <t>Legenda</t>
  </si>
  <si>
    <t>SE = Self-Efficacy</t>
  </si>
  <si>
    <t>K&amp;S = Knowledge &amp; Skills</t>
  </si>
  <si>
    <t>PC = Personal Control</t>
  </si>
  <si>
    <t>MOT = Motivation</t>
  </si>
  <si>
    <t>Self Efficacy</t>
  </si>
  <si>
    <t>Scarso</t>
  </si>
  <si>
    <t>Sufficiente</t>
  </si>
  <si>
    <t>Buono</t>
  </si>
  <si>
    <t>Molto Buono</t>
  </si>
  <si>
    <t>Eccellente</t>
  </si>
  <si>
    <t>Valore</t>
  </si>
  <si>
    <t>T1_SE1</t>
  </si>
  <si>
    <t>Ti senti sicuro nel scegliere un periodo storico che ti interessa?</t>
  </si>
  <si>
    <t>x</t>
  </si>
  <si>
    <t>T1_SE2</t>
  </si>
  <si>
    <t>Hai mai scelto da solo un argomento o un periodo storico che ti incuriosiva?</t>
  </si>
  <si>
    <t>T1_SE3</t>
  </si>
  <si>
    <t>Ti senti più sicuro se ci sono immagini o suoni associati ai periodi da scegliere?</t>
  </si>
  <si>
    <t>Knowledge&amp;Skills</t>
  </si>
  <si>
    <t>T1_KS1</t>
  </si>
  <si>
    <t>Sai cosa significa scegliere un periodo storico?</t>
  </si>
  <si>
    <t>T1_KS2</t>
  </si>
  <si>
    <t>Sai distinguere tra l'antico Egitto, Roma e il Medioevo?</t>
  </si>
  <si>
    <t>T2_SE1</t>
  </si>
  <si>
    <t>Ti senti a tuo agio nel cominciare una conversazione con qualcuno, anche se non lo conosci?</t>
  </si>
  <si>
    <t>T2_SE2</t>
  </si>
  <si>
    <t>A volte ti blocchi quando devi iniziare a fare una domanda?</t>
  </si>
  <si>
    <t>T2_SE3</t>
  </si>
  <si>
    <t>Ti senti sicuro quando devi fare una domanda su qualcosa che studi a scuola?</t>
  </si>
  <si>
    <t>T2_KS1</t>
  </si>
  <si>
    <t>Hai mai provato a fare domande a qualcuno (persona o sistema) per imparare qualcosa?</t>
  </si>
  <si>
    <t>Motivation</t>
  </si>
  <si>
    <t>T2_MOT1</t>
  </si>
  <si>
    <t>Ti incuriosisce l’idea di poter parlare con un personaggio famoso del passato?</t>
  </si>
  <si>
    <t>T2_MOT2</t>
  </si>
  <si>
    <t>Preferisci che il personaggio inizi a parlarti prima?</t>
  </si>
  <si>
    <t>T3_SE1</t>
  </si>
  <si>
    <t>Pensi di riuscire a portare avanti una conversazione facendo domande e ascoltando le risposte?</t>
  </si>
  <si>
    <t>T3_SE2</t>
  </si>
  <si>
    <t>Ti è mai capitato di non sapere cosa dire dopo una prima domanda?</t>
  </si>
  <si>
    <t>T3_KS1</t>
  </si>
  <si>
    <t>Sai che tipo di domande fare per ottenere buone risposte?</t>
  </si>
  <si>
    <t>T3_KS2</t>
  </si>
  <si>
    <t>Quando qualcuno ti spiega qualcosa, riesci a seguirlo senza perderti?</t>
  </si>
  <si>
    <t>T3_MOT1</t>
  </si>
  <si>
    <t>Ti entusiasma l’idea di poter fare più domande per scoprire cose nuove?</t>
  </si>
  <si>
    <t>T3_MOT2</t>
  </si>
  <si>
    <t>Ti fa piacere quando ottieni una risposta interessante?</t>
  </si>
  <si>
    <t>T4_KS1</t>
  </si>
  <si>
    <t>Sai come si fa a rispondere alle domande di un quiz?</t>
  </si>
  <si>
    <t>Personal Control</t>
  </si>
  <si>
    <t>T4_PC1</t>
  </si>
  <si>
    <t>Ti senti capace di gestire il quiz da sola, senza aiuto?</t>
  </si>
  <si>
    <t>T4_PC2</t>
  </si>
  <si>
    <t>Ti senti bravo con i quiz a risposta multipla?</t>
  </si>
  <si>
    <t>T4_PC3</t>
  </si>
  <si>
    <t>Ti senti bravo con i quiz a tempo?</t>
  </si>
  <si>
    <t>T4_MOT1</t>
  </si>
  <si>
    <t>Ti piace quando il quiz è come un gioco?</t>
  </si>
  <si>
    <t>T4_MOT2</t>
  </si>
  <si>
    <t>Ti senti soddisfatto quando rispondi bene alle domande?</t>
  </si>
  <si>
    <t>T4_MOT3</t>
  </si>
  <si>
    <t>Se sbagli una risposta, ti viene voglia di riprovare?</t>
  </si>
  <si>
    <t>T5_KS1</t>
  </si>
  <si>
    <t>Hai mai salvato o scritto qualcosa per ricordarlo meglio?</t>
  </si>
  <si>
    <t>T5_KS2</t>
  </si>
  <si>
    <t>Ti è capitato di voler rileggere qualcosa che ti interessava?</t>
  </si>
  <si>
    <t>T5_PC1</t>
  </si>
  <si>
    <t>Ti capita di ricordarti dove hai messo o salvato delle informazioni?</t>
  </si>
  <si>
    <t>T5_PC2</t>
  </si>
  <si>
    <t>Ti senti in grado di decidere quali cose sono importanti da salvare?</t>
  </si>
  <si>
    <t>T6_SE1</t>
  </si>
  <si>
    <t>Ti senti in grado di spiegare agli altri cosa hai scoperto da solo?</t>
  </si>
  <si>
    <t>T6_SE2</t>
  </si>
  <si>
    <t>Capisci cosa può interessare agli altri di quello che hai fatto?</t>
  </si>
  <si>
    <t>T6_SE3</t>
  </si>
  <si>
    <t>Riesci a decidere cosa vale la pena condividere?</t>
  </si>
  <si>
    <t>T6_MOT1</t>
  </si>
  <si>
    <t>Ti fa piacere raccontare agli altri quello che impari?</t>
  </si>
  <si>
    <t>T6_MOT2</t>
  </si>
  <si>
    <t>Sei curioso di sapere cosa scoprono i tuoi compagni?</t>
  </si>
  <si>
    <t>T7_KS1</t>
  </si>
  <si>
    <t>Ti è mai capitato che ricevere un premio o un riconoscimento (come un adesivo, un punto, un “bravo”) ti abbia aiutato a ricordare meglio quello che avevi imparato?</t>
  </si>
  <si>
    <t>T7_PC1</t>
  </si>
  <si>
    <t>Sai perché ricevi un premio oppure ti sembra casuale?</t>
  </si>
  <si>
    <t>T7_PC2</t>
  </si>
  <si>
    <t>In genere riesci a capire quali comportamenti o azioni ti fanno guadagnare un premio o un riconoscimento?</t>
  </si>
  <si>
    <t>T7_MOT1</t>
  </si>
  <si>
    <t>Ti piacciono i premi simbolici o virtuali, come punti, adesivi o frasi incoraggianti? Ti capita che ti invoglino a continuare un’attività?</t>
  </si>
  <si>
    <t>T7_MOT2</t>
  </si>
  <si>
    <t>Ti senti più bravo o soddisfatto quando ricevi un messaggio positivo da qualcuno (per esempio un insegnante o un genitore)?</t>
  </si>
  <si>
    <t>T7_MOT3</t>
  </si>
  <si>
    <t>Quando qualcuno ti dice qualcosa di positivo (come “hai fatto un buon lavoro”), ti senti più sicuro di te?</t>
  </si>
  <si>
    <t>T8_SE1</t>
  </si>
  <si>
    <t>Quanto ti senti sicuro/a nel proporre o affrontare attività legate allo studio della storia, anche in autonomia?</t>
  </si>
  <si>
    <t>T8_SE2</t>
  </si>
  <si>
    <t>Se avessi uno strumento digitale per studiare o insegnare storia, pensi che ti sentiresti in grado di usarlo senza difficoltà?</t>
  </si>
  <si>
    <t>T8_KS1</t>
  </si>
  <si>
    <t>Quando lavori o fai lavorare su un argomento storico, i materiali e le istruzioni risultano generalmente chiari e comprensibili senza bisogno di ulteriori chiarimenti?</t>
  </si>
  <si>
    <t>T8_PC1</t>
  </si>
  <si>
    <t>Quanto è importante per te poter decidere quando e come svolgere attività legate alla storia (come studio, domande, esercizi)?</t>
  </si>
  <si>
    <t>T8_PC2</t>
  </si>
  <si>
    <t>Ti piacerebbe avere la possibilità di adattare o personalizzare il contenuto o il modo in cui lavori con la storia, in base alle tue esigenze?</t>
  </si>
  <si>
    <t>T8_MOT1</t>
  </si>
  <si>
    <t>Ti interesserebbe uno strumento che renda lo studio o l’insegnamento della storia più coinvolgente e organizzato?</t>
  </si>
  <si>
    <t>T8_MOT2</t>
  </si>
  <si>
    <t>Quanto pensi che vedere i propri progressi o risultati possa motivarti a continuare a usare uno strumento digitale per la storia?</t>
  </si>
  <si>
    <t>T11_SE1</t>
  </si>
  <si>
    <t>Ti senti in grado di partecipare attivamente alle attività in classe, condividendo idee, ponendo domande o collaborando con gli altri?</t>
  </si>
  <si>
    <t>T11_KS1</t>
  </si>
  <si>
    <t>Ritieni di avere le competenze necessarie per collaborare e comunicare in modo utile e costruttivo durante le attività scolastiche in classe?</t>
  </si>
  <si>
    <t>T11_PC1</t>
  </si>
  <si>
    <t>Hai la possibilità di esprimere liberamente le tue opinioni e di intervenire quando hai bisogno durante le lezioni in classe?</t>
  </si>
  <si>
    <t>T11_PC2</t>
  </si>
  <si>
    <t>Senti di avere il giusto spazio per seguire o guidare i ritmi e i contenuti delle attività didattiche?</t>
  </si>
  <si>
    <t>T11_MOT1</t>
  </si>
  <si>
    <t>Ti piacerebbe partecipare ad attività scolastiche più dinamiche e coinvolgenti, anche al di fuori delle modalità tradizionali?</t>
  </si>
  <si>
    <t>T11_MOT2</t>
  </si>
  <si>
    <t>Pensi che un ambiente più interattivo e collaborativo potrebbe migliorare la partecipazione e il coinvolgimento tuo e degli altri?</t>
  </si>
  <si>
    <t>Ti senti in grado di spiegare agli altri cosa hai scoperto da sola?</t>
  </si>
  <si>
    <t>Quanto ti senti sicuro nel proporre o affrontare attività legate allo studio della storia, anche in autonomia?</t>
  </si>
  <si>
    <t>T9_SE1</t>
  </si>
  <si>
    <t>Ti senti sicuro nel gestire in autonomia la creazione e l’organizzazione di una classe, anche in contesti non tradizionali?</t>
  </si>
  <si>
    <t>T9_SE2</t>
  </si>
  <si>
    <t>Se qualcosa non va come previsto nell’organizzazione di una classe, ti senti in grado di trovare soluzioni e ripartire senza supporto esterno?</t>
  </si>
  <si>
    <t>T9_KS1</t>
  </si>
  <si>
    <t>Quando organizzi una classe o un’attività didattica, trovi facilmente le indicazioni o i riferimenti di cui hai bisogno?</t>
  </si>
  <si>
    <t>T9_PC1</t>
  </si>
  <si>
    <t>Hai la possibilità concreta di decidere tempi, modalità e impostazioni delle attività nella tua classe secondo il tuo metodo di lavoro?</t>
  </si>
  <si>
    <t>T9_PC2</t>
  </si>
  <si>
    <t>Riesci a gestire liberamente l’attivazione, la sospensione o la chiusura di attività e progetti nella tua classe?</t>
  </si>
  <si>
    <t>T9_MOT1</t>
  </si>
  <si>
    <t>Avere il pieno controllo sull’organizzazione delle attività didattiche ti fa sentire più motivato e sereno nel tuo lavoro?</t>
  </si>
  <si>
    <t>T9_MOT2</t>
  </si>
  <si>
    <t>Personalizzare la gestione della classe secondo il tuo stile e quello dei tuoi studenti ti aiuta a sentirti più coinvolto?</t>
  </si>
  <si>
    <t>T10_SE1</t>
  </si>
  <si>
    <t>Ti senti sicuro nell’assegnare domande o compiti alla classe come parte del tuo lavoro quotidiano?</t>
  </si>
  <si>
    <t>T10_SE2</t>
  </si>
  <si>
    <t>Quando decidi di proporre una nuova attività o domanda, ti senti in grado di organizzarla senza difficoltà?</t>
  </si>
  <si>
    <t>T10_KS1</t>
  </si>
  <si>
    <t>Hai a disposizione riferimenti, idee o materiali che ti aiutano a scegliere e formulare le domande giuste per i tuoi studenti?</t>
  </si>
  <si>
    <t>T10_PC1</t>
  </si>
  <si>
    <t>Ti senti libero di scegliere quali domande proporre alla classe e in quali momenti farlo?</t>
  </si>
  <si>
    <t>T10_PC2</t>
  </si>
  <si>
    <t>Quanto è semplice per te modificare o adattare una domanda già proposta, se le esigenze della classe cambiano?</t>
  </si>
  <si>
    <t>T10_MOT1</t>
  </si>
  <si>
    <t>Proporre domande o attività nella tua didattica ti aiuta a rendere le lezioni più stimolanti e partecipate?</t>
  </si>
  <si>
    <t>T10_MOT2</t>
  </si>
  <si>
    <t>Quanto è importante per te poter adattare le domande o le attività ai diversi bisogni dei tuoi studenti?</t>
  </si>
  <si>
    <t>T12_PC1</t>
  </si>
  <si>
    <t>Hai la possibilità di scegliere liberamente quando e come informarti sull’andamento scolastico di tuo/a figlio/a?</t>
  </si>
  <si>
    <t>T12_PC2</t>
  </si>
  <si>
    <t>Riesci con facilità a restare aggiornata sui suoi progressi scolastici, oppure trovi difficoltà nel farlo con continuità?</t>
  </si>
  <si>
    <t>T12_MOT1</t>
  </si>
  <si>
    <t>Ti piacerebbe essere più coinvolta nel percorso scolastico di tuo/a figlio/a, se avessi strumenti più semplici e accessibili?</t>
  </si>
  <si>
    <t>T12_MOT2</t>
  </si>
  <si>
    <t>Ti sentiresti più motivata a supportare tuo/a figlio/a se avessi una visione più chiara dei suoi miglioramenti o delle sue difficoltà?</t>
  </si>
  <si>
    <t>MEDIA DELLE RISPOSTE</t>
  </si>
  <si>
    <t>MEDIA TRA I VALORI MEDI RELATIVI A QUELL'ABILITA'</t>
  </si>
  <si>
    <t>Task</t>
  </si>
  <si>
    <t>ISE</t>
  </si>
  <si>
    <t xml:space="preserve">IKS </t>
  </si>
  <si>
    <t xml:space="preserve">IPC </t>
  </si>
  <si>
    <t>IMOT</t>
  </si>
  <si>
    <t>T1 - Selezionare un periodo storico</t>
  </si>
  <si>
    <t>T2 - Avviare una conversazione</t>
  </si>
  <si>
    <t>T3 - Condurre una conversazione con un personaggio</t>
  </si>
  <si>
    <t>T4 - Partecipare a quiz</t>
  </si>
  <si>
    <t>T5 - Salvare o rivedere una conversazione utile</t>
  </si>
  <si>
    <t>T6 - Condividere una conversazione con compagni o insegnanti</t>
  </si>
  <si>
    <t>T7 - Ricevere feedback e premi virtuali</t>
  </si>
  <si>
    <t>T8 - Visualizzare le domande assegnate dall'insegnante</t>
  </si>
  <si>
    <t>T9 - Creare una classe virtuale</t>
  </si>
  <si>
    <t>T10 - Assegnare domande alla classe</t>
  </si>
  <si>
    <t>T11 - Partecipare ad una classe virtuale</t>
  </si>
  <si>
    <t>T12 - Seguire lo studio del figlio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</si>
</sst>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i/>
      <sz val="16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sz val="16"/>
      <color rgb="FF003366"/>
      <name val="Times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</font>
    <font>
      <b/>
      <i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6"/>
      <color rgb="FFFF0000"/>
      <name val="Times New Roman"/>
      <family val="1"/>
    </font>
    <font>
      <b/>
      <sz val="16"/>
      <color rgb="FFFF0000"/>
      <name val="Times New Roman"/>
      <family val="1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BDEDE"/>
        <bgColor rgb="FFCBDEDE"/>
      </patternFill>
    </fill>
    <fill>
      <patternFill patternType="solid">
        <fgColor rgb="FFE7EFEF"/>
        <bgColor rgb="FFE7EFEF"/>
      </patternFill>
    </fill>
    <fill>
      <patternFill patternType="solid">
        <fgColor rgb="FF356854"/>
        <bgColor rgb="FF356854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</fills>
  <borders count="1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14" xfId="0" applyFont="1" applyFill="1" applyBorder="1" applyAlignment="1">
      <alignment horizontal="center" vertical="center" wrapText="1" readingOrder="1"/>
    </xf>
    <xf numFmtId="0" fontId="6" fillId="0" borderId="0" xfId="0" applyFont="1"/>
    <xf numFmtId="0" fontId="5" fillId="3" borderId="13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6" fillId="4" borderId="0" xfId="0" applyFont="1" applyFill="1"/>
    <xf numFmtId="0" fontId="3" fillId="4" borderId="0" xfId="0" applyFont="1" applyFill="1"/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/>
    <xf numFmtId="0" fontId="5" fillId="2" borderId="0" xfId="0" applyFont="1" applyFill="1" applyAlignment="1">
      <alignment horizontal="center" vertical="center" wrapText="1" readingOrder="1"/>
    </xf>
    <xf numFmtId="0" fontId="9" fillId="0" borderId="0" xfId="0" applyFont="1"/>
    <xf numFmtId="2" fontId="5" fillId="2" borderId="13" xfId="0" applyNumberFormat="1" applyFont="1" applyFill="1" applyBorder="1" applyAlignment="1">
      <alignment horizontal="right" vertical="center" wrapText="1" readingOrder="1"/>
    </xf>
    <xf numFmtId="0" fontId="10" fillId="5" borderId="13" xfId="0" applyFont="1" applyFill="1" applyBorder="1" applyAlignment="1">
      <alignment horizontal="center" vertical="center" wrapText="1" readingOrder="1"/>
    </xf>
    <xf numFmtId="0" fontId="11" fillId="6" borderId="13" xfId="0" applyFont="1" applyFill="1" applyBorder="1" applyAlignment="1">
      <alignment horizontal="left" vertical="center" wrapText="1" readingOrder="1"/>
    </xf>
    <xf numFmtId="2" fontId="11" fillId="6" borderId="13" xfId="0" applyNumberFormat="1" applyFont="1" applyFill="1" applyBorder="1" applyAlignment="1">
      <alignment horizontal="center" vertical="center" wrapText="1" readingOrder="1"/>
    </xf>
    <xf numFmtId="2" fontId="12" fillId="6" borderId="13" xfId="0" applyNumberFormat="1" applyFont="1" applyFill="1" applyBorder="1" applyAlignment="1">
      <alignment horizontal="center" vertical="center" wrapText="1" readingOrder="1"/>
    </xf>
    <xf numFmtId="2" fontId="13" fillId="6" borderId="13" xfId="0" applyNumberFormat="1" applyFont="1" applyFill="1" applyBorder="1" applyAlignment="1">
      <alignment horizontal="center" vertical="center" wrapText="1" readingOrder="1"/>
    </xf>
    <xf numFmtId="0" fontId="11" fillId="5" borderId="13" xfId="0" applyFont="1" applyFill="1" applyBorder="1" applyAlignment="1">
      <alignment horizontal="left" vertical="center" wrapText="1" readingOrder="1"/>
    </xf>
    <xf numFmtId="2" fontId="12" fillId="5" borderId="13" xfId="0" applyNumberFormat="1" applyFont="1" applyFill="1" applyBorder="1" applyAlignment="1">
      <alignment horizontal="center" vertical="center" wrapText="1" readingOrder="1"/>
    </xf>
    <xf numFmtId="2" fontId="11" fillId="5" borderId="13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/>
  </cellXfs>
  <cellStyles count="1">
    <cellStyle name="Normale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BEHAVIOURABILIT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_1" displayName="Tabella_1" ref="A1:E13">
  <tableColumns count="5">
    <tableColumn id="1" xr3:uid="{00000000-0010-0000-0000-000001000000}" name="TASK"/>
    <tableColumn id="2" xr3:uid="{00000000-0010-0000-0000-000002000000}" name="Decision Making"/>
    <tableColumn id="3" xr3:uid="{00000000-0010-0000-0000-000003000000}" name="Self-Management "/>
    <tableColumn id="4" xr3:uid="{00000000-0010-0000-0000-000004000000}" name="Communication "/>
    <tableColumn id="5" xr3:uid="{00000000-0010-0000-0000-000005000000}" name="Engagement"/>
  </tableColumns>
  <tableStyleInfo name="BEHAVIOURABILIT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 x14ac:dyDescent="0.3"/>
  <cols>
    <col min="1" max="1" width="61.8984375" customWidth="1"/>
    <col min="2" max="2" width="21.796875" customWidth="1"/>
    <col min="3" max="3" width="22.59765625" customWidth="1"/>
    <col min="4" max="4" width="20.8984375" customWidth="1"/>
    <col min="5" max="5" width="21.3984375" customWidth="1"/>
    <col min="6" max="26" width="8.69921875" customWidth="1"/>
  </cols>
  <sheetData>
    <row r="1" spans="1:26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s="5" t="s">
        <v>5</v>
      </c>
      <c r="B2" s="6" t="s">
        <v>6</v>
      </c>
    </row>
    <row r="3" spans="1:26" x14ac:dyDescent="0.3">
      <c r="A3" s="7" t="s">
        <v>7</v>
      </c>
      <c r="B3" s="8" t="s">
        <v>6</v>
      </c>
      <c r="D3" s="8" t="s">
        <v>8</v>
      </c>
      <c r="E3" s="9" t="s">
        <v>9</v>
      </c>
    </row>
    <row r="4" spans="1:26" x14ac:dyDescent="0.3">
      <c r="A4" s="5" t="s">
        <v>10</v>
      </c>
      <c r="D4" s="6" t="s">
        <v>8</v>
      </c>
      <c r="E4" s="10" t="s">
        <v>11</v>
      </c>
    </row>
    <row r="5" spans="1:26" x14ac:dyDescent="0.3">
      <c r="A5" s="7" t="s">
        <v>12</v>
      </c>
      <c r="B5" s="8" t="s">
        <v>13</v>
      </c>
      <c r="C5" s="8" t="s">
        <v>14</v>
      </c>
      <c r="E5" s="9" t="s">
        <v>11</v>
      </c>
    </row>
    <row r="6" spans="1:26" x14ac:dyDescent="0.3">
      <c r="A6" s="5" t="s">
        <v>15</v>
      </c>
      <c r="C6" s="6" t="s">
        <v>16</v>
      </c>
    </row>
    <row r="7" spans="1:26" x14ac:dyDescent="0.3">
      <c r="A7" s="7" t="s">
        <v>17</v>
      </c>
      <c r="D7" s="8" t="s">
        <v>8</v>
      </c>
    </row>
    <row r="8" spans="1:26" x14ac:dyDescent="0.3">
      <c r="A8" s="5" t="s">
        <v>18</v>
      </c>
      <c r="B8" s="6" t="s">
        <v>13</v>
      </c>
      <c r="C8" s="6" t="s">
        <v>14</v>
      </c>
      <c r="E8" s="10" t="s">
        <v>11</v>
      </c>
    </row>
    <row r="9" spans="1:26" x14ac:dyDescent="0.3">
      <c r="A9" s="7" t="s">
        <v>19</v>
      </c>
      <c r="B9" s="8" t="s">
        <v>6</v>
      </c>
      <c r="C9" s="8" t="s">
        <v>14</v>
      </c>
    </row>
    <row r="10" spans="1:26" x14ac:dyDescent="0.3">
      <c r="A10" s="5" t="s">
        <v>20</v>
      </c>
      <c r="B10" s="6" t="s">
        <v>6</v>
      </c>
      <c r="C10" s="6" t="s">
        <v>14</v>
      </c>
    </row>
    <row r="11" spans="1:26" x14ac:dyDescent="0.3">
      <c r="A11" s="7" t="s">
        <v>21</v>
      </c>
      <c r="B11" s="8" t="s">
        <v>6</v>
      </c>
      <c r="C11" s="8" t="s">
        <v>22</v>
      </c>
    </row>
    <row r="12" spans="1:26" x14ac:dyDescent="0.3">
      <c r="A12" s="5" t="s">
        <v>23</v>
      </c>
      <c r="B12" s="6" t="s">
        <v>6</v>
      </c>
      <c r="C12" s="6" t="s">
        <v>22</v>
      </c>
      <c r="D12" s="6" t="s">
        <v>8</v>
      </c>
      <c r="E12" s="10" t="s">
        <v>11</v>
      </c>
    </row>
    <row r="13" spans="1:26" x14ac:dyDescent="0.3">
      <c r="A13" s="11" t="s">
        <v>24</v>
      </c>
      <c r="B13" s="12" t="s">
        <v>22</v>
      </c>
      <c r="C13" s="12" t="s">
        <v>22</v>
      </c>
      <c r="D13" s="12"/>
      <c r="E13" s="13" t="s">
        <v>9</v>
      </c>
    </row>
    <row r="14" spans="1:26" x14ac:dyDescent="0.3">
      <c r="A14" s="14" t="s">
        <v>25</v>
      </c>
    </row>
    <row r="15" spans="1:26" x14ac:dyDescent="0.3">
      <c r="A15" s="15" t="s">
        <v>26</v>
      </c>
    </row>
    <row r="16" spans="1:26" x14ac:dyDescent="0.3">
      <c r="A16" s="15" t="s">
        <v>27</v>
      </c>
    </row>
    <row r="17" spans="1:1" x14ac:dyDescent="0.3">
      <c r="A17" s="15" t="s">
        <v>28</v>
      </c>
    </row>
    <row r="18" spans="1:1" x14ac:dyDescent="0.3">
      <c r="A18" s="15" t="s">
        <v>29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6"/>
  <sheetViews>
    <sheetView topLeftCell="B1" zoomScale="66" workbookViewId="0">
      <selection activeCell="H3" sqref="H3"/>
    </sheetView>
  </sheetViews>
  <sheetFormatPr defaultColWidth="11.19921875" defaultRowHeight="15" customHeight="1" x14ac:dyDescent="0.3"/>
  <cols>
    <col min="1" max="1" width="18.69921875" customWidth="1"/>
    <col min="2" max="2" width="143.3984375" bestFit="1" customWidth="1"/>
    <col min="3" max="3" width="8.69921875" customWidth="1"/>
    <col min="4" max="4" width="13.19921875" customWidth="1"/>
    <col min="5" max="5" width="8.69921875" customWidth="1"/>
    <col min="6" max="6" width="20.296875" customWidth="1"/>
    <col min="7" max="7" width="14.19921875" customWidth="1"/>
    <col min="8" max="8" width="14.69921875" customWidth="1"/>
    <col min="9" max="25" width="8.69921875" customWidth="1"/>
  </cols>
  <sheetData>
    <row r="1" spans="1:25" s="37" customFormat="1" ht="22.05" customHeight="1" x14ac:dyDescent="0.3">
      <c r="B1" s="16" t="s">
        <v>30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7" t="s">
        <v>36</v>
      </c>
    </row>
    <row r="2" spans="1:25" s="37" customFormat="1" ht="22.05" customHeight="1" x14ac:dyDescent="0.3">
      <c r="A2" s="16" t="s">
        <v>37</v>
      </c>
      <c r="B2" s="38" t="s">
        <v>38</v>
      </c>
      <c r="C2" s="45"/>
      <c r="D2" s="45"/>
      <c r="E2" s="45"/>
      <c r="F2" s="46" t="s">
        <v>39</v>
      </c>
      <c r="G2" s="45"/>
      <c r="H2" s="39">
        <f>IF(C2="X",1)+IF(D2="X",2)+IF(E2="X",3)+IF(F2="X",4)+IF(G2="X",5)</f>
        <v>4</v>
      </c>
    </row>
    <row r="3" spans="1:25" s="37" customFormat="1" ht="22.05" customHeight="1" x14ac:dyDescent="0.3">
      <c r="A3" s="16" t="s">
        <v>40</v>
      </c>
      <c r="B3" s="39" t="s">
        <v>41</v>
      </c>
      <c r="C3" s="45"/>
      <c r="D3" s="45"/>
      <c r="E3" s="46"/>
      <c r="F3" s="46" t="s">
        <v>39</v>
      </c>
      <c r="G3" s="46"/>
      <c r="H3" s="39">
        <f t="shared" ref="H2:H4" si="0">IF(C3="X",1)+IF(D3="X",2)+IF(E3="X",3)+IF(F3="X",4)+IF(G3="X",5)</f>
        <v>4</v>
      </c>
    </row>
    <row r="4" spans="1:25" s="37" customFormat="1" ht="22.05" customHeight="1" x14ac:dyDescent="0.3">
      <c r="A4" s="16" t="s">
        <v>42</v>
      </c>
      <c r="B4" s="39" t="s">
        <v>43</v>
      </c>
      <c r="C4" s="45"/>
      <c r="D4" s="46" t="s">
        <v>39</v>
      </c>
      <c r="E4" s="45"/>
      <c r="F4" s="45"/>
      <c r="G4" s="45"/>
      <c r="H4" s="39">
        <f t="shared" si="0"/>
        <v>2</v>
      </c>
    </row>
    <row r="5" spans="1:25" s="37" customFormat="1" ht="22.05" customHeight="1" x14ac:dyDescent="0.3">
      <c r="A5" s="19"/>
      <c r="B5" s="16" t="s">
        <v>44</v>
      </c>
      <c r="C5" s="45"/>
      <c r="D5" s="45"/>
      <c r="E5" s="45"/>
      <c r="F5" s="45"/>
      <c r="G5" s="45"/>
    </row>
    <row r="6" spans="1:25" s="37" customFormat="1" ht="22.05" customHeight="1" x14ac:dyDescent="0.3">
      <c r="A6" s="16" t="s">
        <v>45</v>
      </c>
      <c r="B6" s="38" t="s">
        <v>46</v>
      </c>
      <c r="C6" s="45"/>
      <c r="D6" s="45"/>
      <c r="E6" s="46" t="s">
        <v>39</v>
      </c>
      <c r="F6" s="45"/>
      <c r="G6" s="45"/>
      <c r="H6" s="39">
        <f t="shared" ref="H6:H7" si="1">IF(C6="X",1)+IF(D6="X",2)+IF(E6="X",3)+IF(F6="X",4)+IF(G6="X",5)</f>
        <v>3</v>
      </c>
    </row>
    <row r="7" spans="1:25" s="37" customFormat="1" ht="22.05" customHeight="1" x14ac:dyDescent="0.3">
      <c r="A7" s="16" t="s">
        <v>47</v>
      </c>
      <c r="B7" s="39" t="s">
        <v>48</v>
      </c>
      <c r="C7" s="45"/>
      <c r="D7" s="45"/>
      <c r="E7" s="46" t="s">
        <v>39</v>
      </c>
      <c r="F7" s="45"/>
      <c r="G7" s="45"/>
      <c r="H7" s="39">
        <f t="shared" si="1"/>
        <v>3</v>
      </c>
    </row>
    <row r="8" spans="1:25" s="37" customFormat="1" ht="22.05" customHeight="1" x14ac:dyDescent="0.3">
      <c r="A8" s="20"/>
      <c r="B8" s="40"/>
      <c r="C8" s="47"/>
      <c r="D8" s="47"/>
      <c r="E8" s="47"/>
      <c r="F8" s="47"/>
      <c r="G8" s="47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 spans="1:25" s="37" customFormat="1" ht="22.05" customHeight="1" x14ac:dyDescent="0.3">
      <c r="A9" s="19"/>
      <c r="B9" s="16" t="s">
        <v>30</v>
      </c>
      <c r="C9" s="45"/>
      <c r="D9" s="45"/>
      <c r="E9" s="46"/>
      <c r="F9" s="45"/>
      <c r="G9" s="45"/>
    </row>
    <row r="10" spans="1:25" s="37" customFormat="1" ht="22.05" customHeight="1" x14ac:dyDescent="0.3">
      <c r="A10" s="16" t="s">
        <v>49</v>
      </c>
      <c r="B10" s="39" t="s">
        <v>50</v>
      </c>
      <c r="C10" s="45"/>
      <c r="D10" s="45"/>
      <c r="E10" s="45"/>
      <c r="F10" s="46" t="s">
        <v>39</v>
      </c>
      <c r="G10" s="45"/>
      <c r="H10" s="39">
        <f t="shared" ref="H10:H12" si="2">IF(C10="X",1)+IF(D10="X",2)+IF(E10="X",3)+IF(F10="X",4)+IF(G10="X",5)</f>
        <v>4</v>
      </c>
    </row>
    <row r="11" spans="1:25" s="37" customFormat="1" ht="22.05" customHeight="1" x14ac:dyDescent="0.3">
      <c r="A11" s="16" t="s">
        <v>51</v>
      </c>
      <c r="B11" s="39" t="s">
        <v>52</v>
      </c>
      <c r="C11" s="46" t="s">
        <v>39</v>
      </c>
      <c r="D11" s="45"/>
      <c r="E11" s="45"/>
      <c r="F11" s="45"/>
      <c r="G11" s="45"/>
      <c r="H11" s="39">
        <f t="shared" si="2"/>
        <v>1</v>
      </c>
    </row>
    <row r="12" spans="1:25" s="37" customFormat="1" ht="22.05" customHeight="1" x14ac:dyDescent="0.3">
      <c r="A12" s="16" t="s">
        <v>53</v>
      </c>
      <c r="B12" s="39" t="s">
        <v>54</v>
      </c>
      <c r="C12" s="45"/>
      <c r="D12" s="45"/>
      <c r="E12" s="45"/>
      <c r="F12" s="46" t="s">
        <v>39</v>
      </c>
      <c r="G12" s="45"/>
      <c r="H12" s="39">
        <f t="shared" si="2"/>
        <v>4</v>
      </c>
    </row>
    <row r="13" spans="1:25" s="37" customFormat="1" ht="22.05" customHeight="1" x14ac:dyDescent="0.3">
      <c r="A13" s="19"/>
      <c r="B13" s="16" t="s">
        <v>44</v>
      </c>
      <c r="C13" s="45"/>
      <c r="D13" s="45"/>
      <c r="E13" s="45"/>
      <c r="F13" s="45"/>
      <c r="G13" s="46"/>
    </row>
    <row r="14" spans="1:25" s="37" customFormat="1" ht="22.05" customHeight="1" x14ac:dyDescent="0.3">
      <c r="A14" s="16" t="s">
        <v>55</v>
      </c>
      <c r="B14" s="39" t="s">
        <v>56</v>
      </c>
      <c r="C14" s="45"/>
      <c r="D14" s="45"/>
      <c r="E14" s="45"/>
      <c r="F14" s="45"/>
      <c r="G14" s="46" t="s">
        <v>39</v>
      </c>
      <c r="H14" s="39">
        <f>IF(C14="X",1)+IF(D14="X",2)+IF(E14="X",3)+IF(F14="X",4)+IF(G14="X",5)</f>
        <v>5</v>
      </c>
    </row>
    <row r="15" spans="1:25" s="37" customFormat="1" ht="22.05" customHeight="1" x14ac:dyDescent="0.3">
      <c r="A15" s="19"/>
      <c r="B15" s="16" t="s">
        <v>57</v>
      </c>
      <c r="C15" s="45"/>
      <c r="D15" s="45"/>
      <c r="E15" s="45"/>
      <c r="F15" s="45"/>
      <c r="G15" s="45"/>
    </row>
    <row r="16" spans="1:25" s="37" customFormat="1" ht="22.05" customHeight="1" x14ac:dyDescent="0.3">
      <c r="A16" s="16" t="s">
        <v>58</v>
      </c>
      <c r="B16" s="39" t="s">
        <v>59</v>
      </c>
      <c r="C16" s="45"/>
      <c r="D16" s="45"/>
      <c r="E16" s="45"/>
      <c r="F16" s="45"/>
      <c r="G16" s="46" t="s">
        <v>39</v>
      </c>
      <c r="H16" s="39">
        <f t="shared" ref="H16:H17" si="3">IF(C16="X",1)+IF(D16="X",2)+IF(E16="X",3)+IF(F16="X",4)+IF(G16="X",5)</f>
        <v>5</v>
      </c>
    </row>
    <row r="17" spans="1:25" s="37" customFormat="1" ht="22.05" customHeight="1" x14ac:dyDescent="0.3">
      <c r="A17" s="16" t="s">
        <v>60</v>
      </c>
      <c r="B17" s="39" t="s">
        <v>61</v>
      </c>
      <c r="C17" s="45"/>
      <c r="D17" s="45"/>
      <c r="E17" s="45"/>
      <c r="F17" s="46" t="s">
        <v>39</v>
      </c>
      <c r="G17" s="45"/>
      <c r="H17" s="39">
        <f t="shared" si="3"/>
        <v>4</v>
      </c>
    </row>
    <row r="18" spans="1:25" s="37" customFormat="1" ht="22.05" customHeight="1" x14ac:dyDescent="0.3">
      <c r="A18" s="42"/>
      <c r="B18" s="41"/>
      <c r="C18" s="47"/>
      <c r="D18" s="47"/>
      <c r="E18" s="47"/>
      <c r="F18" s="47"/>
      <c r="G18" s="47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spans="1:25" s="37" customFormat="1" ht="22.05" customHeight="1" x14ac:dyDescent="0.3">
      <c r="A19" s="19"/>
      <c r="B19" s="16" t="s">
        <v>30</v>
      </c>
      <c r="C19" s="45"/>
      <c r="D19" s="45"/>
      <c r="E19" s="45"/>
      <c r="F19" s="45"/>
      <c r="G19" s="45"/>
    </row>
    <row r="20" spans="1:25" s="37" customFormat="1" ht="22.05" customHeight="1" x14ac:dyDescent="0.3">
      <c r="A20" s="16" t="s">
        <v>62</v>
      </c>
      <c r="B20" s="39" t="s">
        <v>63</v>
      </c>
      <c r="C20" s="45"/>
      <c r="D20" s="45"/>
      <c r="E20" s="45"/>
      <c r="F20" s="45"/>
      <c r="G20" s="46" t="s">
        <v>39</v>
      </c>
      <c r="H20" s="39">
        <f t="shared" ref="H20:H21" si="4">IF(C20="X",1)+IF(D20="X",2)+IF(E20="X",3)+IF(F20="X",4)+IF(G20="X",5)</f>
        <v>5</v>
      </c>
    </row>
    <row r="21" spans="1:25" s="37" customFormat="1" ht="22.05" customHeight="1" x14ac:dyDescent="0.3">
      <c r="A21" s="16" t="s">
        <v>64</v>
      </c>
      <c r="B21" s="39" t="s">
        <v>65</v>
      </c>
      <c r="C21" s="45"/>
      <c r="D21" s="45"/>
      <c r="E21" s="45"/>
      <c r="F21" s="46" t="s">
        <v>39</v>
      </c>
      <c r="G21" s="45"/>
      <c r="H21" s="39">
        <f t="shared" si="4"/>
        <v>4</v>
      </c>
    </row>
    <row r="22" spans="1:25" s="37" customFormat="1" ht="22.05" customHeight="1" x14ac:dyDescent="0.3">
      <c r="A22" s="19"/>
      <c r="B22" s="16" t="s">
        <v>44</v>
      </c>
      <c r="C22" s="45"/>
      <c r="D22" s="45"/>
      <c r="E22" s="45"/>
      <c r="F22" s="45"/>
      <c r="G22" s="45"/>
    </row>
    <row r="23" spans="1:25" s="37" customFormat="1" ht="22.05" customHeight="1" x14ac:dyDescent="0.3">
      <c r="A23" s="16" t="s">
        <v>66</v>
      </c>
      <c r="B23" s="38" t="s">
        <v>67</v>
      </c>
      <c r="C23" s="45"/>
      <c r="D23" s="45"/>
      <c r="E23" s="45"/>
      <c r="F23" s="46" t="s">
        <v>39</v>
      </c>
      <c r="G23" s="45"/>
      <c r="H23" s="39">
        <f t="shared" ref="H23:H24" si="5">IF(C23="X",1)+IF(D23="X",2)+IF(E23="X",3)+IF(F23="X",4)+IF(G23="X",5)</f>
        <v>4</v>
      </c>
    </row>
    <row r="24" spans="1:25" s="37" customFormat="1" ht="22.05" customHeight="1" x14ac:dyDescent="0.3">
      <c r="A24" s="16" t="s">
        <v>68</v>
      </c>
      <c r="B24" s="39" t="s">
        <v>69</v>
      </c>
      <c r="C24" s="45"/>
      <c r="D24" s="45"/>
      <c r="E24" s="45"/>
      <c r="F24" s="46" t="s">
        <v>39</v>
      </c>
      <c r="G24" s="45"/>
      <c r="H24" s="39">
        <f t="shared" si="5"/>
        <v>4</v>
      </c>
    </row>
    <row r="25" spans="1:25" s="37" customFormat="1" ht="22.05" customHeight="1" x14ac:dyDescent="0.3">
      <c r="A25" s="19"/>
      <c r="B25" s="16" t="s">
        <v>57</v>
      </c>
      <c r="C25" s="45"/>
      <c r="D25" s="45"/>
      <c r="E25" s="45"/>
      <c r="F25" s="45"/>
      <c r="G25" s="45"/>
    </row>
    <row r="26" spans="1:25" s="37" customFormat="1" ht="22.05" customHeight="1" x14ac:dyDescent="0.3">
      <c r="A26" s="16" t="s">
        <v>70</v>
      </c>
      <c r="B26" s="39" t="s">
        <v>71</v>
      </c>
      <c r="C26" s="45"/>
      <c r="D26" s="45"/>
      <c r="E26" s="45"/>
      <c r="F26" s="45"/>
      <c r="G26" s="46" t="s">
        <v>39</v>
      </c>
      <c r="H26" s="39">
        <f t="shared" ref="H26:H27" si="6">IF(C26="X",1)+IF(D26="X",2)+IF(E26="X",3)+IF(F26="X",4)+IF(G26="X",5)</f>
        <v>5</v>
      </c>
    </row>
    <row r="27" spans="1:25" s="37" customFormat="1" ht="22.05" customHeight="1" x14ac:dyDescent="0.3">
      <c r="A27" s="16" t="s">
        <v>72</v>
      </c>
      <c r="B27" s="39" t="s">
        <v>73</v>
      </c>
      <c r="C27" s="45"/>
      <c r="D27" s="45"/>
      <c r="E27" s="45"/>
      <c r="F27" s="46" t="s">
        <v>39</v>
      </c>
      <c r="G27" s="45"/>
      <c r="H27" s="39">
        <f t="shared" si="6"/>
        <v>4</v>
      </c>
    </row>
    <row r="28" spans="1:25" s="37" customFormat="1" ht="22.05" customHeight="1" x14ac:dyDescent="0.3">
      <c r="A28" s="42"/>
      <c r="B28" s="41"/>
      <c r="C28" s="47"/>
      <c r="D28" s="47"/>
      <c r="E28" s="47"/>
      <c r="F28" s="47"/>
      <c r="G28" s="47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spans="1:25" s="37" customFormat="1" ht="22.05" customHeight="1" x14ac:dyDescent="0.3">
      <c r="A29" s="19"/>
      <c r="B29" s="16" t="s">
        <v>44</v>
      </c>
      <c r="C29" s="45"/>
      <c r="D29" s="45"/>
      <c r="E29" s="45"/>
      <c r="F29" s="45"/>
      <c r="G29" s="45"/>
    </row>
    <row r="30" spans="1:25" s="37" customFormat="1" ht="22.05" customHeight="1" x14ac:dyDescent="0.3">
      <c r="A30" s="16" t="s">
        <v>74</v>
      </c>
      <c r="B30" s="39" t="s">
        <v>75</v>
      </c>
      <c r="C30" s="45"/>
      <c r="D30" s="45"/>
      <c r="E30" s="45"/>
      <c r="F30" s="45"/>
      <c r="G30" s="46" t="s">
        <v>39</v>
      </c>
      <c r="H30" s="39">
        <f>IF(C30="X",1)+IF(D30="X",2)+IF(E30="X",3)+IF(F30="X",4)+IF(G30="X",5)</f>
        <v>5</v>
      </c>
    </row>
    <row r="31" spans="1:25" s="37" customFormat="1" ht="22.05" customHeight="1" x14ac:dyDescent="0.3">
      <c r="A31" s="19"/>
      <c r="B31" s="16" t="s">
        <v>76</v>
      </c>
      <c r="C31" s="45"/>
      <c r="D31" s="45"/>
      <c r="E31" s="45"/>
      <c r="F31" s="45"/>
      <c r="G31" s="45"/>
    </row>
    <row r="32" spans="1:25" s="37" customFormat="1" ht="22.05" customHeight="1" x14ac:dyDescent="0.3">
      <c r="A32" s="16" t="s">
        <v>77</v>
      </c>
      <c r="B32" s="39" t="s">
        <v>78</v>
      </c>
      <c r="C32" s="45"/>
      <c r="D32" s="45"/>
      <c r="E32" s="45"/>
      <c r="F32" s="46" t="s">
        <v>39</v>
      </c>
      <c r="G32" s="45"/>
      <c r="H32" s="39">
        <f t="shared" ref="H32:H34" si="7">IF(C32="X",1)+IF(D32="X",2)+IF(E32="X",3)+IF(F32="X",4)+IF(G32="X",5)</f>
        <v>4</v>
      </c>
    </row>
    <row r="33" spans="1:25" s="37" customFormat="1" ht="22.05" customHeight="1" x14ac:dyDescent="0.3">
      <c r="A33" s="16" t="s">
        <v>79</v>
      </c>
      <c r="B33" s="43" t="s">
        <v>80</v>
      </c>
      <c r="C33" s="45"/>
      <c r="D33" s="45"/>
      <c r="E33" s="45"/>
      <c r="F33" s="46" t="s">
        <v>39</v>
      </c>
      <c r="G33" s="45"/>
      <c r="H33" s="39">
        <f t="shared" si="7"/>
        <v>4</v>
      </c>
    </row>
    <row r="34" spans="1:25" s="37" customFormat="1" ht="22.05" customHeight="1" x14ac:dyDescent="0.3">
      <c r="A34" s="16" t="s">
        <v>81</v>
      </c>
      <c r="B34" s="43" t="s">
        <v>82</v>
      </c>
      <c r="C34" s="45"/>
      <c r="D34" s="45"/>
      <c r="E34" s="45"/>
      <c r="F34" s="46" t="s">
        <v>39</v>
      </c>
      <c r="G34" s="45"/>
      <c r="H34" s="39">
        <f t="shared" si="7"/>
        <v>4</v>
      </c>
    </row>
    <row r="35" spans="1:25" s="37" customFormat="1" ht="22.05" customHeight="1" x14ac:dyDescent="0.3">
      <c r="A35" s="19"/>
      <c r="B35" s="16" t="s">
        <v>57</v>
      </c>
      <c r="C35" s="45"/>
      <c r="D35" s="45"/>
      <c r="E35" s="45"/>
      <c r="F35" s="45"/>
      <c r="G35" s="45"/>
    </row>
    <row r="36" spans="1:25" s="37" customFormat="1" ht="22.05" customHeight="1" x14ac:dyDescent="0.3">
      <c r="A36" s="16" t="s">
        <v>83</v>
      </c>
      <c r="B36" s="39" t="s">
        <v>84</v>
      </c>
      <c r="C36" s="45"/>
      <c r="D36" s="45"/>
      <c r="E36" s="45"/>
      <c r="F36" s="45"/>
      <c r="G36" s="46" t="s">
        <v>39</v>
      </c>
      <c r="H36" s="39">
        <f t="shared" ref="H36:H38" si="8">IF(C36="X",1)+IF(D36="X",2)+IF(E36="X",3)+IF(F36="X",4)+IF(G36="X",5)</f>
        <v>5</v>
      </c>
    </row>
    <row r="37" spans="1:25" s="37" customFormat="1" ht="22.05" customHeight="1" x14ac:dyDescent="0.3">
      <c r="A37" s="16" t="s">
        <v>85</v>
      </c>
      <c r="B37" s="39" t="s">
        <v>86</v>
      </c>
      <c r="C37" s="45"/>
      <c r="D37" s="45"/>
      <c r="E37" s="45"/>
      <c r="F37" s="45"/>
      <c r="G37" s="46" t="s">
        <v>39</v>
      </c>
      <c r="H37" s="39">
        <f t="shared" si="8"/>
        <v>5</v>
      </c>
    </row>
    <row r="38" spans="1:25" s="37" customFormat="1" ht="22.05" customHeight="1" x14ac:dyDescent="0.3">
      <c r="A38" s="16" t="s">
        <v>87</v>
      </c>
      <c r="B38" s="39" t="s">
        <v>88</v>
      </c>
      <c r="C38" s="45"/>
      <c r="D38" s="45"/>
      <c r="E38" s="46" t="s">
        <v>39</v>
      </c>
      <c r="F38" s="45"/>
      <c r="G38" s="45"/>
      <c r="H38" s="39">
        <f t="shared" si="8"/>
        <v>3</v>
      </c>
    </row>
    <row r="39" spans="1:25" s="37" customFormat="1" ht="22.05" customHeight="1" x14ac:dyDescent="0.3">
      <c r="A39" s="42"/>
      <c r="B39" s="41"/>
      <c r="C39" s="47"/>
      <c r="D39" s="47"/>
      <c r="E39" s="47"/>
      <c r="F39" s="47"/>
      <c r="G39" s="47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 s="37" customFormat="1" ht="22.05" customHeight="1" x14ac:dyDescent="0.3">
      <c r="A40" s="19"/>
      <c r="B40" s="16" t="s">
        <v>44</v>
      </c>
      <c r="C40" s="45"/>
      <c r="D40" s="45"/>
      <c r="E40" s="45"/>
      <c r="F40" s="45"/>
      <c r="G40" s="45"/>
    </row>
    <row r="41" spans="1:25" s="37" customFormat="1" ht="22.05" customHeight="1" x14ac:dyDescent="0.3">
      <c r="A41" s="16" t="s">
        <v>89</v>
      </c>
      <c r="B41" s="39" t="s">
        <v>90</v>
      </c>
      <c r="C41" s="45"/>
      <c r="D41" s="45"/>
      <c r="E41" s="45"/>
      <c r="F41" s="46" t="s">
        <v>39</v>
      </c>
      <c r="G41" s="45"/>
      <c r="H41" s="39">
        <f t="shared" ref="H41:H42" si="9">IF(C41="X",1)+IF(D41="X",2)+IF(E41="X",3)+IF(F41="X",4)+IF(G41="X",5)</f>
        <v>4</v>
      </c>
    </row>
    <row r="42" spans="1:25" s="37" customFormat="1" ht="22.05" customHeight="1" x14ac:dyDescent="0.3">
      <c r="A42" s="16" t="s">
        <v>91</v>
      </c>
      <c r="B42" s="39" t="s">
        <v>92</v>
      </c>
      <c r="C42" s="45"/>
      <c r="D42" s="45"/>
      <c r="E42" s="45"/>
      <c r="F42" s="45"/>
      <c r="G42" s="46" t="s">
        <v>39</v>
      </c>
      <c r="H42" s="39">
        <f t="shared" si="9"/>
        <v>5</v>
      </c>
    </row>
    <row r="43" spans="1:25" s="37" customFormat="1" ht="22.05" customHeight="1" x14ac:dyDescent="0.3">
      <c r="A43" s="19"/>
      <c r="B43" s="16" t="s">
        <v>76</v>
      </c>
      <c r="C43" s="45"/>
      <c r="D43" s="45"/>
      <c r="E43" s="45"/>
      <c r="F43" s="45"/>
      <c r="G43" s="45"/>
    </row>
    <row r="44" spans="1:25" s="37" customFormat="1" ht="22.05" customHeight="1" x14ac:dyDescent="0.3">
      <c r="A44" s="16" t="s">
        <v>93</v>
      </c>
      <c r="B44" s="39" t="s">
        <v>94</v>
      </c>
      <c r="C44" s="45"/>
      <c r="D44" s="45"/>
      <c r="E44" s="46" t="s">
        <v>39</v>
      </c>
      <c r="F44" s="45"/>
      <c r="G44" s="45"/>
      <c r="H44" s="39">
        <f t="shared" ref="H44:H45" si="10">IF(C44="X",1)+IF(D44="X",2)+IF(E44="X",3)+IF(F44="X",4)+IF(G44="X",5)</f>
        <v>3</v>
      </c>
    </row>
    <row r="45" spans="1:25" s="37" customFormat="1" ht="22.05" customHeight="1" x14ac:dyDescent="0.3">
      <c r="A45" s="16" t="s">
        <v>95</v>
      </c>
      <c r="B45" s="39" t="s">
        <v>96</v>
      </c>
      <c r="C45" s="45"/>
      <c r="D45" s="45"/>
      <c r="E45" s="45"/>
      <c r="F45" s="46" t="s">
        <v>39</v>
      </c>
      <c r="G45" s="45"/>
      <c r="H45" s="39">
        <f t="shared" si="10"/>
        <v>4</v>
      </c>
    </row>
    <row r="46" spans="1:25" s="37" customFormat="1" ht="22.05" customHeight="1" x14ac:dyDescent="0.3">
      <c r="A46" s="42"/>
      <c r="B46" s="41"/>
      <c r="C46" s="47"/>
      <c r="D46" s="47"/>
      <c r="E46" s="47"/>
      <c r="F46" s="47"/>
      <c r="G46" s="47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 s="37" customFormat="1" ht="22.05" customHeight="1" x14ac:dyDescent="0.3">
      <c r="A47" s="19"/>
      <c r="B47" s="16" t="s">
        <v>30</v>
      </c>
      <c r="C47" s="45"/>
      <c r="D47" s="45"/>
      <c r="E47" s="45"/>
      <c r="F47" s="45"/>
      <c r="G47" s="45"/>
    </row>
    <row r="48" spans="1:25" s="37" customFormat="1" ht="22.05" customHeight="1" x14ac:dyDescent="0.3">
      <c r="A48" s="16" t="s">
        <v>97</v>
      </c>
      <c r="B48" s="39" t="s">
        <v>98</v>
      </c>
      <c r="C48" s="45"/>
      <c r="D48" s="45"/>
      <c r="E48" s="45"/>
      <c r="F48" s="46" t="s">
        <v>39</v>
      </c>
      <c r="G48" s="45"/>
      <c r="H48" s="39">
        <f t="shared" ref="H48:H50" si="11">IF(C48="X",1)+IF(D48="X",2)+IF(E48="X",3)+IF(F48="X",4)+IF(G48="X",5)</f>
        <v>4</v>
      </c>
    </row>
    <row r="49" spans="1:25" s="37" customFormat="1" ht="22.05" customHeight="1" x14ac:dyDescent="0.3">
      <c r="A49" s="16" t="s">
        <v>99</v>
      </c>
      <c r="B49" s="39" t="s">
        <v>100</v>
      </c>
      <c r="C49" s="45"/>
      <c r="D49" s="45"/>
      <c r="E49" s="46" t="s">
        <v>39</v>
      </c>
      <c r="F49" s="45"/>
      <c r="G49" s="45"/>
      <c r="H49" s="39">
        <f t="shared" si="11"/>
        <v>3</v>
      </c>
    </row>
    <row r="50" spans="1:25" s="37" customFormat="1" ht="22.05" customHeight="1" x14ac:dyDescent="0.3">
      <c r="A50" s="16" t="s">
        <v>101</v>
      </c>
      <c r="B50" s="39" t="s">
        <v>102</v>
      </c>
      <c r="C50" s="45"/>
      <c r="D50" s="45"/>
      <c r="E50" s="46" t="s">
        <v>39</v>
      </c>
      <c r="F50" s="45"/>
      <c r="G50" s="45"/>
      <c r="H50" s="39">
        <f t="shared" si="11"/>
        <v>3</v>
      </c>
    </row>
    <row r="51" spans="1:25" s="37" customFormat="1" ht="22.05" customHeight="1" x14ac:dyDescent="0.3">
      <c r="A51" s="19"/>
      <c r="B51" s="16" t="s">
        <v>57</v>
      </c>
      <c r="C51" s="45"/>
      <c r="D51" s="45"/>
      <c r="E51" s="45"/>
      <c r="F51" s="45"/>
      <c r="G51" s="45"/>
    </row>
    <row r="52" spans="1:25" s="37" customFormat="1" ht="22.05" customHeight="1" x14ac:dyDescent="0.3">
      <c r="A52" s="16" t="s">
        <v>103</v>
      </c>
      <c r="B52" s="39" t="s">
        <v>104</v>
      </c>
      <c r="C52" s="45"/>
      <c r="D52" s="45"/>
      <c r="E52" s="45"/>
      <c r="F52" s="45"/>
      <c r="G52" s="46" t="s">
        <v>39</v>
      </c>
      <c r="H52" s="39">
        <f t="shared" ref="H52:H53" si="12">IF(C52="X",1)+IF(D52="X",2)+IF(E52="X",3)+IF(F52="X",4)+IF(G52="X",5)</f>
        <v>5</v>
      </c>
    </row>
    <row r="53" spans="1:25" s="37" customFormat="1" ht="22.05" customHeight="1" x14ac:dyDescent="0.3">
      <c r="A53" s="16" t="s">
        <v>105</v>
      </c>
      <c r="B53" s="39" t="s">
        <v>106</v>
      </c>
      <c r="C53" s="45"/>
      <c r="D53" s="45"/>
      <c r="E53" s="45"/>
      <c r="F53" s="45"/>
      <c r="G53" s="46" t="s">
        <v>39</v>
      </c>
      <c r="H53" s="39">
        <f t="shared" si="12"/>
        <v>5</v>
      </c>
    </row>
    <row r="54" spans="1:25" s="37" customFormat="1" ht="22.05" customHeight="1" x14ac:dyDescent="0.3">
      <c r="A54" s="42"/>
      <c r="B54" s="41"/>
      <c r="C54" s="47"/>
      <c r="D54" s="47"/>
      <c r="E54" s="47"/>
      <c r="F54" s="47"/>
      <c r="G54" s="47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 s="37" customFormat="1" ht="22.05" customHeight="1" x14ac:dyDescent="0.3">
      <c r="A55" s="19"/>
      <c r="B55" s="16" t="s">
        <v>44</v>
      </c>
      <c r="C55" s="45"/>
      <c r="D55" s="45"/>
      <c r="E55" s="45"/>
      <c r="F55" s="45"/>
      <c r="G55" s="45"/>
    </row>
    <row r="56" spans="1:25" s="37" customFormat="1" ht="22.05" customHeight="1" x14ac:dyDescent="0.3">
      <c r="A56" s="16" t="s">
        <v>107</v>
      </c>
      <c r="B56" s="39" t="s">
        <v>108</v>
      </c>
      <c r="C56" s="46" t="s">
        <v>39</v>
      </c>
      <c r="D56" s="45"/>
      <c r="E56" s="45"/>
      <c r="F56" s="45"/>
      <c r="G56" s="45"/>
      <c r="H56" s="39">
        <f>IF(C56="X",1)+IF(D56="X",2)+IF(E56="X",3)+IF(F56="X",4)+IF(G56="X",5)</f>
        <v>1</v>
      </c>
    </row>
    <row r="57" spans="1:25" s="37" customFormat="1" ht="22.05" customHeight="1" x14ac:dyDescent="0.3">
      <c r="A57" s="19"/>
      <c r="B57" s="16" t="s">
        <v>76</v>
      </c>
      <c r="C57" s="45"/>
      <c r="D57" s="45"/>
      <c r="E57" s="45"/>
      <c r="F57" s="45"/>
      <c r="G57" s="45"/>
    </row>
    <row r="58" spans="1:25" s="37" customFormat="1" ht="22.05" customHeight="1" x14ac:dyDescent="0.3">
      <c r="A58" s="16" t="s">
        <v>109</v>
      </c>
      <c r="B58" s="39" t="s">
        <v>110</v>
      </c>
      <c r="C58" s="45"/>
      <c r="D58" s="46" t="s">
        <v>39</v>
      </c>
      <c r="E58" s="45"/>
      <c r="F58" s="45"/>
      <c r="G58" s="45"/>
      <c r="H58" s="39">
        <f t="shared" ref="H58:H59" si="13">IF(C58="X",1)+IF(D58="X",2)+IF(E58="X",3)+IF(F58="X",4)+IF(G58="X",5)</f>
        <v>2</v>
      </c>
    </row>
    <row r="59" spans="1:25" s="37" customFormat="1" ht="22.05" customHeight="1" x14ac:dyDescent="0.3">
      <c r="A59" s="16" t="s">
        <v>111</v>
      </c>
      <c r="B59" s="39" t="s">
        <v>112</v>
      </c>
      <c r="C59" s="45"/>
      <c r="D59" s="46" t="s">
        <v>39</v>
      </c>
      <c r="E59" s="45"/>
      <c r="F59" s="45"/>
      <c r="G59" s="45"/>
      <c r="H59" s="39">
        <f t="shared" si="13"/>
        <v>2</v>
      </c>
    </row>
    <row r="60" spans="1:25" s="37" customFormat="1" ht="22.05" customHeight="1" x14ac:dyDescent="0.3">
      <c r="A60" s="19"/>
      <c r="B60" s="16" t="s">
        <v>57</v>
      </c>
      <c r="C60" s="45"/>
      <c r="D60" s="45"/>
      <c r="E60" s="45"/>
      <c r="F60" s="45"/>
      <c r="G60" s="45"/>
    </row>
    <row r="61" spans="1:25" s="37" customFormat="1" ht="22.05" customHeight="1" x14ac:dyDescent="0.3">
      <c r="A61" s="16" t="s">
        <v>113</v>
      </c>
      <c r="B61" s="39" t="s">
        <v>114</v>
      </c>
      <c r="C61" s="45"/>
      <c r="D61" s="45"/>
      <c r="E61" s="45"/>
      <c r="F61" s="45"/>
      <c r="G61" s="46" t="s">
        <v>39</v>
      </c>
      <c r="H61" s="39">
        <f t="shared" ref="H61:H63" si="14">IF(C61="X",1)+IF(D61="X",2)+IF(E61="X",3)+IF(F61="X",4)+IF(G61="X",5)</f>
        <v>5</v>
      </c>
    </row>
    <row r="62" spans="1:25" s="37" customFormat="1" ht="22.05" customHeight="1" x14ac:dyDescent="0.3">
      <c r="A62" s="16" t="s">
        <v>115</v>
      </c>
      <c r="B62" s="39" t="s">
        <v>116</v>
      </c>
      <c r="C62" s="45"/>
      <c r="D62" s="45"/>
      <c r="E62" s="45"/>
      <c r="F62" s="46" t="s">
        <v>39</v>
      </c>
      <c r="G62" s="45"/>
      <c r="H62" s="39">
        <f t="shared" si="14"/>
        <v>4</v>
      </c>
    </row>
    <row r="63" spans="1:25" s="37" customFormat="1" ht="22.05" customHeight="1" x14ac:dyDescent="0.3">
      <c r="A63" s="16" t="s">
        <v>117</v>
      </c>
      <c r="B63" s="39" t="s">
        <v>118</v>
      </c>
      <c r="C63" s="45"/>
      <c r="D63" s="45"/>
      <c r="E63" s="45"/>
      <c r="F63" s="45"/>
      <c r="G63" s="46" t="s">
        <v>39</v>
      </c>
      <c r="H63" s="39">
        <f t="shared" si="14"/>
        <v>5</v>
      </c>
    </row>
    <row r="64" spans="1:25" s="37" customFormat="1" ht="22.05" customHeight="1" x14ac:dyDescent="0.3">
      <c r="A64" s="41"/>
      <c r="B64" s="41"/>
      <c r="C64" s="47"/>
      <c r="D64" s="47"/>
      <c r="E64" s="47"/>
      <c r="F64" s="47"/>
      <c r="G64" s="47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spans="1:25" s="37" customFormat="1" ht="22.05" customHeight="1" x14ac:dyDescent="0.3">
      <c r="A65" s="19"/>
      <c r="B65" s="16" t="s">
        <v>30</v>
      </c>
      <c r="C65" s="45"/>
      <c r="D65" s="45"/>
      <c r="E65" s="45"/>
      <c r="F65" s="45"/>
      <c r="G65" s="45"/>
    </row>
    <row r="66" spans="1:25" s="37" customFormat="1" ht="22.05" customHeight="1" x14ac:dyDescent="0.3">
      <c r="A66" s="16" t="s">
        <v>119</v>
      </c>
      <c r="B66" s="44" t="s">
        <v>120</v>
      </c>
      <c r="C66" s="45"/>
      <c r="D66" s="45"/>
      <c r="E66" s="45"/>
      <c r="F66" s="45"/>
      <c r="G66" s="46" t="s">
        <v>39</v>
      </c>
      <c r="H66" s="39">
        <f t="shared" ref="H66:H67" si="15">IF(C66="X",1)+IF(D66="X",2)+IF(E66="X",3)+IF(F66="X",4)+IF(G66="X",5)</f>
        <v>5</v>
      </c>
    </row>
    <row r="67" spans="1:25" s="37" customFormat="1" ht="22.05" customHeight="1" x14ac:dyDescent="0.3">
      <c r="A67" s="16" t="s">
        <v>121</v>
      </c>
      <c r="B67" s="44" t="s">
        <v>122</v>
      </c>
      <c r="C67" s="45"/>
      <c r="D67" s="45"/>
      <c r="E67" s="45"/>
      <c r="F67" s="46" t="s">
        <v>39</v>
      </c>
      <c r="G67" s="45"/>
      <c r="H67" s="39">
        <f t="shared" si="15"/>
        <v>4</v>
      </c>
    </row>
    <row r="68" spans="1:25" s="37" customFormat="1" ht="22.05" customHeight="1" x14ac:dyDescent="0.3">
      <c r="A68" s="19"/>
      <c r="B68" s="16" t="s">
        <v>44</v>
      </c>
      <c r="C68" s="45"/>
      <c r="D68" s="45"/>
      <c r="E68" s="45"/>
      <c r="F68" s="45"/>
      <c r="G68" s="45"/>
    </row>
    <row r="69" spans="1:25" s="37" customFormat="1" ht="22.05" customHeight="1" x14ac:dyDescent="0.3">
      <c r="A69" s="16" t="s">
        <v>123</v>
      </c>
      <c r="B69" s="44" t="s">
        <v>124</v>
      </c>
      <c r="C69" s="46" t="s">
        <v>39</v>
      </c>
      <c r="D69" s="45"/>
      <c r="E69" s="45"/>
      <c r="F69" s="45"/>
      <c r="G69" s="45"/>
      <c r="H69" s="39">
        <f>IF(C69="X",1)+IF(D69="X",2)+IF(E69="X",3)+IF(F69="X",4)+IF(G69="X",5)</f>
        <v>1</v>
      </c>
    </row>
    <row r="70" spans="1:25" s="37" customFormat="1" ht="22.05" customHeight="1" x14ac:dyDescent="0.3">
      <c r="A70" s="19"/>
      <c r="B70" s="16" t="s">
        <v>76</v>
      </c>
      <c r="C70" s="45"/>
      <c r="D70" s="45"/>
      <c r="E70" s="45"/>
      <c r="F70" s="45"/>
      <c r="G70" s="45"/>
    </row>
    <row r="71" spans="1:25" s="37" customFormat="1" ht="22.05" customHeight="1" x14ac:dyDescent="0.3">
      <c r="A71" s="16" t="s">
        <v>125</v>
      </c>
      <c r="B71" s="44" t="s">
        <v>126</v>
      </c>
      <c r="C71" s="45"/>
      <c r="D71" s="45"/>
      <c r="E71" s="45"/>
      <c r="F71" s="46" t="s">
        <v>39</v>
      </c>
      <c r="G71" s="45"/>
      <c r="H71" s="39">
        <f t="shared" ref="H71:H72" si="16">IF(C71="X",1)+IF(D71="X",2)+IF(E71="X",3)+IF(F71="X",4)+IF(G71="X",5)</f>
        <v>4</v>
      </c>
    </row>
    <row r="72" spans="1:25" s="37" customFormat="1" ht="22.05" customHeight="1" x14ac:dyDescent="0.3">
      <c r="A72" s="16" t="s">
        <v>127</v>
      </c>
      <c r="B72" s="44" t="s">
        <v>128</v>
      </c>
      <c r="C72" s="45"/>
      <c r="D72" s="45"/>
      <c r="E72" s="45"/>
      <c r="F72" s="46" t="s">
        <v>39</v>
      </c>
      <c r="G72" s="45"/>
      <c r="H72" s="39">
        <f t="shared" si="16"/>
        <v>4</v>
      </c>
    </row>
    <row r="73" spans="1:25" s="37" customFormat="1" ht="22.05" customHeight="1" x14ac:dyDescent="0.3">
      <c r="A73" s="19"/>
      <c r="B73" s="16" t="s">
        <v>57</v>
      </c>
      <c r="C73" s="45"/>
      <c r="D73" s="45"/>
      <c r="E73" s="45"/>
      <c r="F73" s="45"/>
      <c r="G73" s="45"/>
    </row>
    <row r="74" spans="1:25" s="37" customFormat="1" ht="22.05" customHeight="1" x14ac:dyDescent="0.3">
      <c r="A74" s="16" t="s">
        <v>129</v>
      </c>
      <c r="B74" s="44" t="s">
        <v>130</v>
      </c>
      <c r="C74" s="45"/>
      <c r="D74" s="45"/>
      <c r="E74" s="45"/>
      <c r="F74" s="45"/>
      <c r="G74" s="46" t="s">
        <v>39</v>
      </c>
      <c r="H74" s="39">
        <f t="shared" ref="H74:H75" si="17">IF(C74="X",1)+IF(D74="X",2)+IF(E74="X",3)+IF(F74="X",4)+IF(G74="X",5)</f>
        <v>5</v>
      </c>
    </row>
    <row r="75" spans="1:25" s="37" customFormat="1" ht="22.05" customHeight="1" x14ac:dyDescent="0.3">
      <c r="A75" s="16" t="s">
        <v>131</v>
      </c>
      <c r="B75" s="39" t="s">
        <v>132</v>
      </c>
      <c r="C75" s="45"/>
      <c r="D75" s="45"/>
      <c r="E75" s="45"/>
      <c r="F75" s="46" t="s">
        <v>39</v>
      </c>
      <c r="G75" s="45"/>
      <c r="H75" s="39">
        <f t="shared" si="17"/>
        <v>4</v>
      </c>
    </row>
    <row r="76" spans="1:25" s="37" customFormat="1" ht="22.05" customHeight="1" x14ac:dyDescent="0.3">
      <c r="A76" s="41"/>
      <c r="B76" s="41"/>
      <c r="C76" s="47"/>
      <c r="D76" s="47"/>
      <c r="E76" s="47"/>
      <c r="F76" s="47"/>
      <c r="G76" s="47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s="37" customFormat="1" ht="22.05" customHeight="1" x14ac:dyDescent="0.3">
      <c r="A77" s="19"/>
      <c r="B77" s="16" t="s">
        <v>30</v>
      </c>
      <c r="C77" s="48"/>
      <c r="D77" s="45"/>
      <c r="E77" s="45"/>
      <c r="F77" s="45"/>
      <c r="G77" s="45"/>
    </row>
    <row r="78" spans="1:25" s="37" customFormat="1" ht="22.05" customHeight="1" x14ac:dyDescent="0.3">
      <c r="A78" s="16" t="s">
        <v>133</v>
      </c>
      <c r="B78" s="44" t="s">
        <v>134</v>
      </c>
      <c r="C78" s="45"/>
      <c r="D78" s="45"/>
      <c r="E78" s="45"/>
      <c r="F78" s="45"/>
      <c r="G78" s="46" t="s">
        <v>39</v>
      </c>
      <c r="H78" s="39">
        <f>IF(C78="X",1)+IF(D78="X",2)+IF(E78="X",3)+IF(F78="X",4)+IF(G78="X",5)</f>
        <v>5</v>
      </c>
    </row>
    <row r="79" spans="1:25" s="37" customFormat="1" ht="22.05" customHeight="1" x14ac:dyDescent="0.3">
      <c r="A79" s="19"/>
      <c r="B79" s="16" t="s">
        <v>44</v>
      </c>
      <c r="C79" s="45"/>
      <c r="D79" s="45"/>
      <c r="E79" s="45"/>
      <c r="F79" s="45"/>
      <c r="G79" s="45"/>
    </row>
    <row r="80" spans="1:25" s="37" customFormat="1" ht="22.05" customHeight="1" x14ac:dyDescent="0.3">
      <c r="A80" s="16" t="s">
        <v>135</v>
      </c>
      <c r="B80" s="44" t="s">
        <v>136</v>
      </c>
      <c r="C80" s="45"/>
      <c r="D80" s="45"/>
      <c r="E80" s="46" t="s">
        <v>39</v>
      </c>
      <c r="F80" s="45"/>
      <c r="G80" s="45"/>
      <c r="H80" s="39">
        <f>IF(C80="X",1)+IF(D80="X",2)+IF(E80="X",3)+IF(F80="X",4)+IF(G80="X",5)</f>
        <v>3</v>
      </c>
    </row>
    <row r="81" spans="1:8" s="37" customFormat="1" ht="22.05" customHeight="1" x14ac:dyDescent="0.3">
      <c r="A81" s="19"/>
      <c r="B81" s="16" t="s">
        <v>76</v>
      </c>
      <c r="C81" s="45"/>
      <c r="D81" s="45"/>
      <c r="E81" s="45"/>
      <c r="F81" s="45"/>
      <c r="G81" s="45"/>
    </row>
    <row r="82" spans="1:8" s="37" customFormat="1" ht="22.05" customHeight="1" x14ac:dyDescent="0.3">
      <c r="A82" s="16" t="s">
        <v>137</v>
      </c>
      <c r="B82" s="44" t="s">
        <v>138</v>
      </c>
      <c r="C82" s="45"/>
      <c r="D82" s="45"/>
      <c r="E82" s="46" t="s">
        <v>39</v>
      </c>
      <c r="F82" s="45"/>
      <c r="G82" s="45"/>
      <c r="H82" s="39">
        <f t="shared" ref="H82:H83" si="18">IF(C82="X",1)+IF(D82="X",2)+IF(E82="X",3)+IF(F82="X",4)+IF(G82="X",5)</f>
        <v>3</v>
      </c>
    </row>
    <row r="83" spans="1:8" s="37" customFormat="1" ht="22.05" customHeight="1" x14ac:dyDescent="0.3">
      <c r="A83" s="16" t="s">
        <v>139</v>
      </c>
      <c r="B83" s="44" t="s">
        <v>140</v>
      </c>
      <c r="C83" s="45"/>
      <c r="D83" s="45"/>
      <c r="E83" s="45"/>
      <c r="F83" s="46" t="s">
        <v>39</v>
      </c>
      <c r="G83" s="45"/>
      <c r="H83" s="39">
        <f t="shared" si="18"/>
        <v>4</v>
      </c>
    </row>
    <row r="84" spans="1:8" s="37" customFormat="1" ht="22.05" customHeight="1" x14ac:dyDescent="0.3">
      <c r="A84" s="19"/>
      <c r="B84" s="16" t="s">
        <v>57</v>
      </c>
      <c r="C84" s="45"/>
      <c r="D84" s="45"/>
      <c r="E84" s="45"/>
      <c r="F84" s="45"/>
      <c r="G84" s="45"/>
    </row>
    <row r="85" spans="1:8" s="37" customFormat="1" ht="22.05" customHeight="1" x14ac:dyDescent="0.3">
      <c r="A85" s="16" t="s">
        <v>141</v>
      </c>
      <c r="B85" s="44" t="s">
        <v>142</v>
      </c>
      <c r="C85" s="45"/>
      <c r="D85" s="45"/>
      <c r="E85" s="45"/>
      <c r="F85" s="45"/>
      <c r="G85" s="46" t="s">
        <v>39</v>
      </c>
      <c r="H85" s="39">
        <f t="shared" ref="H85:H86" si="19">IF(C85="X",1)+IF(D85="X",2)+IF(E85="X",3)+IF(F85="X",4)+IF(G85="X",5)</f>
        <v>5</v>
      </c>
    </row>
    <row r="86" spans="1:8" s="37" customFormat="1" ht="22.05" customHeight="1" x14ac:dyDescent="0.3">
      <c r="A86" s="16" t="s">
        <v>143</v>
      </c>
      <c r="B86" s="44" t="s">
        <v>144</v>
      </c>
      <c r="C86" s="45"/>
      <c r="D86" s="45"/>
      <c r="E86" s="45"/>
      <c r="F86" s="46" t="s">
        <v>39</v>
      </c>
      <c r="G86" s="45"/>
      <c r="H86" s="39">
        <f t="shared" si="19"/>
        <v>4</v>
      </c>
    </row>
  </sheetData>
  <conditionalFormatting sqref="A84:A86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6"/>
  <sheetViews>
    <sheetView zoomScale="56" zoomScaleNormal="89" workbookViewId="0">
      <selection sqref="A1:XFD1048576"/>
    </sheetView>
  </sheetViews>
  <sheetFormatPr defaultColWidth="11.19921875" defaultRowHeight="21.6" customHeight="1" x14ac:dyDescent="0.3"/>
  <cols>
    <col min="1" max="1" width="18.69921875" customWidth="1"/>
    <col min="2" max="2" width="142.5" bestFit="1" customWidth="1"/>
    <col min="3" max="3" width="8.69921875" customWidth="1"/>
    <col min="4" max="4" width="12.59765625" customWidth="1"/>
    <col min="5" max="5" width="8.69921875" customWidth="1"/>
    <col min="6" max="6" width="16.5" customWidth="1"/>
    <col min="7" max="7" width="12.5" customWidth="1"/>
    <col min="8" max="8" width="9.59765625" customWidth="1"/>
    <col min="9" max="25" width="8.69921875" customWidth="1"/>
  </cols>
  <sheetData>
    <row r="1" spans="1:25" ht="21.6" customHeight="1" x14ac:dyDescent="0.3">
      <c r="B1" s="16" t="s">
        <v>30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7" t="s">
        <v>36</v>
      </c>
    </row>
    <row r="2" spans="1:25" ht="21.6" customHeight="1" x14ac:dyDescent="0.3">
      <c r="A2" s="16" t="s">
        <v>37</v>
      </c>
      <c r="B2" s="18" t="s">
        <v>38</v>
      </c>
      <c r="C2" s="49"/>
      <c r="D2" s="50" t="s">
        <v>39</v>
      </c>
      <c r="E2" s="49"/>
      <c r="F2" s="49"/>
      <c r="G2" s="49"/>
      <c r="H2" s="14">
        <f t="shared" ref="H2:H4" si="0">IF(C2="X",1)+IF(D2="X",2)+IF(E2="X",3)+IF(F2="X",4)+IF(G2="X",5)</f>
        <v>2</v>
      </c>
    </row>
    <row r="3" spans="1:25" ht="21.6" customHeight="1" x14ac:dyDescent="0.3">
      <c r="A3" s="16" t="s">
        <v>40</v>
      </c>
      <c r="B3" s="14" t="s">
        <v>41</v>
      </c>
      <c r="C3" s="50" t="s">
        <v>39</v>
      </c>
      <c r="D3" s="49"/>
      <c r="E3" s="50"/>
      <c r="F3" s="49"/>
      <c r="G3" s="50"/>
      <c r="H3" s="14">
        <f t="shared" si="0"/>
        <v>1</v>
      </c>
    </row>
    <row r="4" spans="1:25" ht="21.6" customHeight="1" x14ac:dyDescent="0.3">
      <c r="A4" s="16" t="s">
        <v>42</v>
      </c>
      <c r="B4" s="14" t="s">
        <v>43</v>
      </c>
      <c r="C4" s="49"/>
      <c r="D4" s="49"/>
      <c r="E4" s="49"/>
      <c r="F4" s="50" t="s">
        <v>39</v>
      </c>
      <c r="G4" s="49"/>
      <c r="H4" s="14">
        <f t="shared" si="0"/>
        <v>4</v>
      </c>
    </row>
    <row r="5" spans="1:25" ht="21.6" customHeight="1" x14ac:dyDescent="0.3">
      <c r="A5" s="19"/>
      <c r="B5" s="16" t="s">
        <v>44</v>
      </c>
      <c r="C5" s="49"/>
      <c r="D5" s="49"/>
      <c r="E5" s="49"/>
      <c r="F5" s="49"/>
      <c r="G5" s="49"/>
    </row>
    <row r="6" spans="1:25" ht="21.6" customHeight="1" x14ac:dyDescent="0.3">
      <c r="A6" s="16" t="s">
        <v>45</v>
      </c>
      <c r="B6" s="18" t="s">
        <v>46</v>
      </c>
      <c r="C6" s="49"/>
      <c r="D6" s="50" t="s">
        <v>39</v>
      </c>
      <c r="E6" s="49"/>
      <c r="F6" s="49"/>
      <c r="G6" s="49"/>
      <c r="H6" s="14">
        <f t="shared" ref="H6:H7" si="1">IF(C6="X",1)+IF(D6="X",2)+IF(E6="X",3)+IF(F6="X",4)+IF(G6="X",5)</f>
        <v>2</v>
      </c>
    </row>
    <row r="7" spans="1:25" ht="21.6" customHeight="1" x14ac:dyDescent="0.3">
      <c r="A7" s="16" t="s">
        <v>47</v>
      </c>
      <c r="B7" s="14" t="s">
        <v>48</v>
      </c>
      <c r="C7" s="50" t="s">
        <v>39</v>
      </c>
      <c r="D7" s="49"/>
      <c r="E7" s="49"/>
      <c r="F7" s="49"/>
      <c r="G7" s="49"/>
      <c r="H7" s="14">
        <f t="shared" si="1"/>
        <v>1</v>
      </c>
    </row>
    <row r="8" spans="1:25" ht="21.6" customHeight="1" x14ac:dyDescent="0.3">
      <c r="A8" s="20"/>
      <c r="B8" s="21"/>
      <c r="C8" s="51"/>
      <c r="D8" s="51"/>
      <c r="E8" s="51"/>
      <c r="F8" s="51"/>
      <c r="G8" s="5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21.6" customHeight="1" x14ac:dyDescent="0.3">
      <c r="A9" s="19"/>
      <c r="B9" s="16" t="s">
        <v>30</v>
      </c>
      <c r="C9" s="49"/>
      <c r="D9" s="49"/>
      <c r="E9" s="50"/>
      <c r="F9" s="49"/>
      <c r="G9" s="49"/>
    </row>
    <row r="10" spans="1:25" ht="21.6" customHeight="1" x14ac:dyDescent="0.3">
      <c r="A10" s="16" t="s">
        <v>49</v>
      </c>
      <c r="B10" s="14" t="s">
        <v>50</v>
      </c>
      <c r="C10" s="50" t="s">
        <v>39</v>
      </c>
      <c r="D10" s="49"/>
      <c r="E10" s="49"/>
      <c r="F10" s="49"/>
      <c r="G10" s="49"/>
      <c r="H10" s="14">
        <f t="shared" ref="H10:H12" si="2">IF(C10="X",1)+IF(D10="X",2)+IF(E10="X",3)+IF(F10="X",4)+IF(G10="X",5)</f>
        <v>1</v>
      </c>
    </row>
    <row r="11" spans="1:25" ht="21.6" customHeight="1" x14ac:dyDescent="0.3">
      <c r="A11" s="16" t="s">
        <v>51</v>
      </c>
      <c r="B11" s="14" t="s">
        <v>52</v>
      </c>
      <c r="C11" s="50" t="s">
        <v>39</v>
      </c>
      <c r="D11" s="49"/>
      <c r="E11" s="49"/>
      <c r="F11" s="49"/>
      <c r="G11" s="49"/>
      <c r="H11" s="14">
        <f t="shared" si="2"/>
        <v>1</v>
      </c>
    </row>
    <row r="12" spans="1:25" ht="21.6" customHeight="1" x14ac:dyDescent="0.3">
      <c r="A12" s="16" t="s">
        <v>53</v>
      </c>
      <c r="B12" s="14" t="s">
        <v>54</v>
      </c>
      <c r="C12" s="49"/>
      <c r="D12" s="50" t="s">
        <v>39</v>
      </c>
      <c r="E12" s="49"/>
      <c r="F12" s="49"/>
      <c r="G12" s="49"/>
      <c r="H12" s="14">
        <f t="shared" si="2"/>
        <v>2</v>
      </c>
    </row>
    <row r="13" spans="1:25" ht="21.6" customHeight="1" x14ac:dyDescent="0.3">
      <c r="A13" s="19"/>
      <c r="B13" s="16" t="s">
        <v>44</v>
      </c>
      <c r="C13" s="49"/>
      <c r="D13" s="49"/>
      <c r="E13" s="49"/>
      <c r="F13" s="49"/>
      <c r="G13" s="50"/>
    </row>
    <row r="14" spans="1:25" ht="21.6" customHeight="1" x14ac:dyDescent="0.3">
      <c r="A14" s="16" t="s">
        <v>55</v>
      </c>
      <c r="B14" s="14" t="s">
        <v>56</v>
      </c>
      <c r="C14" s="50" t="s">
        <v>39</v>
      </c>
      <c r="D14" s="49"/>
      <c r="E14" s="49"/>
      <c r="F14" s="49"/>
      <c r="G14" s="49"/>
      <c r="H14" s="14">
        <f>IF(C14="X",1)+IF(D14="X",2)+IF(E14="X",3)+IF(F14="X",4)+IF(G14="X",5)</f>
        <v>1</v>
      </c>
    </row>
    <row r="15" spans="1:25" ht="21.6" customHeight="1" x14ac:dyDescent="0.3">
      <c r="A15" s="19"/>
      <c r="B15" s="16" t="s">
        <v>57</v>
      </c>
      <c r="C15" s="49"/>
      <c r="D15" s="49"/>
      <c r="E15" s="49"/>
      <c r="F15" s="49"/>
      <c r="G15" s="49"/>
    </row>
    <row r="16" spans="1:25" ht="21.6" customHeight="1" x14ac:dyDescent="0.3">
      <c r="A16" s="16" t="s">
        <v>58</v>
      </c>
      <c r="B16" s="14" t="s">
        <v>59</v>
      </c>
      <c r="C16" s="49"/>
      <c r="D16" s="49"/>
      <c r="E16" s="49"/>
      <c r="F16" s="49"/>
      <c r="G16" s="50" t="s">
        <v>39</v>
      </c>
      <c r="H16" s="14">
        <f t="shared" ref="H16:H17" si="3">IF(C16="X",1)+IF(D16="X",2)+IF(E16="X",3)+IF(F16="X",4)+IF(G16="X",5)</f>
        <v>5</v>
      </c>
    </row>
    <row r="17" spans="1:25" ht="21.6" customHeight="1" x14ac:dyDescent="0.3">
      <c r="A17" s="16" t="s">
        <v>60</v>
      </c>
      <c r="B17" s="14" t="s">
        <v>61</v>
      </c>
      <c r="C17" s="49"/>
      <c r="D17" s="49"/>
      <c r="E17" s="49"/>
      <c r="F17" s="50" t="s">
        <v>39</v>
      </c>
      <c r="G17" s="49"/>
      <c r="H17" s="14">
        <f t="shared" si="3"/>
        <v>4</v>
      </c>
    </row>
    <row r="18" spans="1:25" ht="21.6" customHeight="1" x14ac:dyDescent="0.3">
      <c r="A18" s="23"/>
      <c r="B18" s="22"/>
      <c r="C18" s="51"/>
      <c r="D18" s="51"/>
      <c r="E18" s="51"/>
      <c r="F18" s="51"/>
      <c r="G18" s="5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21.6" customHeight="1" x14ac:dyDescent="0.3">
      <c r="A19" s="19"/>
      <c r="B19" s="16" t="s">
        <v>30</v>
      </c>
      <c r="C19" s="49"/>
      <c r="D19" s="49"/>
      <c r="E19" s="49"/>
      <c r="F19" s="49"/>
      <c r="G19" s="49"/>
    </row>
    <row r="20" spans="1:25" ht="21.6" customHeight="1" x14ac:dyDescent="0.3">
      <c r="A20" s="16" t="s">
        <v>62</v>
      </c>
      <c r="B20" s="14" t="s">
        <v>63</v>
      </c>
      <c r="C20" s="49"/>
      <c r="D20" s="49"/>
      <c r="E20" s="49"/>
      <c r="F20" s="50" t="s">
        <v>39</v>
      </c>
      <c r="G20" s="49"/>
      <c r="H20" s="14">
        <f t="shared" ref="H20:H21" si="4">IF(C20="X",1)+IF(D20="X",2)+IF(E20="X",3)+IF(F20="X",4)+IF(G20="X",5)</f>
        <v>4</v>
      </c>
    </row>
    <row r="21" spans="1:25" ht="21.6" customHeight="1" x14ac:dyDescent="0.3">
      <c r="A21" s="16" t="s">
        <v>64</v>
      </c>
      <c r="B21" s="14" t="s">
        <v>65</v>
      </c>
      <c r="C21" s="49"/>
      <c r="D21" s="50" t="s">
        <v>39</v>
      </c>
      <c r="E21" s="49"/>
      <c r="F21" s="49"/>
      <c r="G21" s="49"/>
      <c r="H21" s="14">
        <f t="shared" si="4"/>
        <v>2</v>
      </c>
    </row>
    <row r="22" spans="1:25" ht="21.6" customHeight="1" x14ac:dyDescent="0.3">
      <c r="A22" s="19"/>
      <c r="B22" s="16" t="s">
        <v>44</v>
      </c>
      <c r="C22" s="49"/>
      <c r="D22" s="49"/>
      <c r="E22" s="49"/>
      <c r="F22" s="49"/>
      <c r="G22" s="49"/>
    </row>
    <row r="23" spans="1:25" ht="21.6" customHeight="1" x14ac:dyDescent="0.3">
      <c r="A23" s="16" t="s">
        <v>66</v>
      </c>
      <c r="B23" s="18" t="s">
        <v>67</v>
      </c>
      <c r="C23" s="49"/>
      <c r="D23" s="50" t="s">
        <v>39</v>
      </c>
      <c r="E23" s="49"/>
      <c r="F23" s="49"/>
      <c r="G23" s="49"/>
      <c r="H23" s="14">
        <f t="shared" ref="H23:H24" si="5">IF(C23="X",1)+IF(D23="X",2)+IF(E23="X",3)+IF(F23="X",4)+IF(G23="X",5)</f>
        <v>2</v>
      </c>
    </row>
    <row r="24" spans="1:25" ht="21.6" customHeight="1" x14ac:dyDescent="0.3">
      <c r="A24" s="16" t="s">
        <v>68</v>
      </c>
      <c r="B24" s="14" t="s">
        <v>69</v>
      </c>
      <c r="C24" s="49"/>
      <c r="D24" s="50" t="s">
        <v>39</v>
      </c>
      <c r="E24" s="49"/>
      <c r="F24" s="49"/>
      <c r="G24" s="49"/>
      <c r="H24" s="14">
        <f t="shared" si="5"/>
        <v>2</v>
      </c>
    </row>
    <row r="25" spans="1:25" ht="21.6" customHeight="1" x14ac:dyDescent="0.3">
      <c r="A25" s="19"/>
      <c r="B25" s="16" t="s">
        <v>57</v>
      </c>
      <c r="C25" s="49"/>
      <c r="D25" s="49"/>
      <c r="E25" s="49"/>
      <c r="F25" s="49"/>
      <c r="G25" s="49"/>
    </row>
    <row r="26" spans="1:25" ht="21.6" customHeight="1" x14ac:dyDescent="0.3">
      <c r="A26" s="16" t="s">
        <v>70</v>
      </c>
      <c r="B26" s="14" t="s">
        <v>71</v>
      </c>
      <c r="C26" s="49"/>
      <c r="D26" s="49"/>
      <c r="E26" s="49"/>
      <c r="F26" s="49"/>
      <c r="G26" s="50" t="s">
        <v>39</v>
      </c>
      <c r="H26" s="14">
        <f t="shared" ref="H26:H27" si="6">IF(C26="X",1)+IF(D26="X",2)+IF(E26="X",3)+IF(F26="X",4)+IF(G26="X",5)</f>
        <v>5</v>
      </c>
    </row>
    <row r="27" spans="1:25" ht="21.6" customHeight="1" x14ac:dyDescent="0.3">
      <c r="A27" s="16" t="s">
        <v>72</v>
      </c>
      <c r="B27" s="14" t="s">
        <v>73</v>
      </c>
      <c r="C27" s="49"/>
      <c r="D27" s="49"/>
      <c r="E27" s="49"/>
      <c r="F27" s="50" t="s">
        <v>39</v>
      </c>
      <c r="G27" s="49"/>
      <c r="H27" s="14">
        <f t="shared" si="6"/>
        <v>4</v>
      </c>
    </row>
    <row r="28" spans="1:25" ht="21.6" customHeight="1" x14ac:dyDescent="0.3">
      <c r="A28" s="23"/>
      <c r="B28" s="22"/>
      <c r="C28" s="51"/>
      <c r="D28" s="51"/>
      <c r="E28" s="51"/>
      <c r="F28" s="51"/>
      <c r="G28" s="51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1.6" customHeight="1" x14ac:dyDescent="0.3">
      <c r="A29" s="19"/>
      <c r="B29" s="16" t="s">
        <v>44</v>
      </c>
      <c r="C29" s="49"/>
      <c r="D29" s="49"/>
      <c r="E29" s="49"/>
      <c r="F29" s="49"/>
      <c r="G29" s="49"/>
    </row>
    <row r="30" spans="1:25" ht="21.6" customHeight="1" x14ac:dyDescent="0.3">
      <c r="A30" s="16" t="s">
        <v>74</v>
      </c>
      <c r="B30" s="14" t="s">
        <v>75</v>
      </c>
      <c r="C30" s="49"/>
      <c r="D30" s="49"/>
      <c r="E30" s="50" t="s">
        <v>39</v>
      </c>
      <c r="F30" s="49"/>
      <c r="G30" s="49"/>
      <c r="H30" s="14">
        <f>IF(C30="X",1)+IF(D30="X",2)+IF(E30="X",3)+IF(F30="X",4)+IF(G30="X",5)</f>
        <v>3</v>
      </c>
    </row>
    <row r="31" spans="1:25" ht="21.6" customHeight="1" x14ac:dyDescent="0.3">
      <c r="A31" s="19"/>
      <c r="B31" s="16" t="s">
        <v>76</v>
      </c>
      <c r="C31" s="49"/>
      <c r="D31" s="49"/>
      <c r="E31" s="49"/>
      <c r="F31" s="49"/>
      <c r="G31" s="49"/>
    </row>
    <row r="32" spans="1:25" ht="21.6" customHeight="1" x14ac:dyDescent="0.3">
      <c r="A32" s="16" t="s">
        <v>77</v>
      </c>
      <c r="B32" s="14" t="s">
        <v>78</v>
      </c>
      <c r="C32" s="49"/>
      <c r="D32" s="49"/>
      <c r="E32" s="50" t="s">
        <v>39</v>
      </c>
      <c r="F32" s="49"/>
      <c r="G32" s="49"/>
      <c r="H32" s="14">
        <f t="shared" ref="H32:H34" si="7">IF(C32="X",1)+IF(D32="X",2)+IF(E32="X",3)+IF(F32="X",4)+IF(G32="X",5)</f>
        <v>3</v>
      </c>
    </row>
    <row r="33" spans="1:25" ht="21.6" customHeight="1" x14ac:dyDescent="0.3">
      <c r="A33" s="16" t="s">
        <v>79</v>
      </c>
      <c r="B33" s="24" t="s">
        <v>80</v>
      </c>
      <c r="C33" s="49"/>
      <c r="D33" s="50" t="s">
        <v>39</v>
      </c>
      <c r="E33" s="49"/>
      <c r="F33" s="49"/>
      <c r="G33" s="49"/>
      <c r="H33" s="14">
        <f t="shared" si="7"/>
        <v>2</v>
      </c>
    </row>
    <row r="34" spans="1:25" ht="21.6" customHeight="1" x14ac:dyDescent="0.3">
      <c r="A34" s="16" t="s">
        <v>81</v>
      </c>
      <c r="B34" s="24" t="s">
        <v>82</v>
      </c>
      <c r="C34" s="49"/>
      <c r="D34" s="50" t="s">
        <v>39</v>
      </c>
      <c r="E34" s="49"/>
      <c r="F34" s="49"/>
      <c r="G34" s="49"/>
      <c r="H34" s="14">
        <f t="shared" si="7"/>
        <v>2</v>
      </c>
    </row>
    <row r="35" spans="1:25" ht="21.6" customHeight="1" x14ac:dyDescent="0.3">
      <c r="A35" s="19"/>
      <c r="B35" s="16" t="s">
        <v>57</v>
      </c>
      <c r="C35" s="49"/>
      <c r="D35" s="49"/>
      <c r="E35" s="49"/>
      <c r="F35" s="49"/>
      <c r="G35" s="49"/>
    </row>
    <row r="36" spans="1:25" ht="21.6" customHeight="1" x14ac:dyDescent="0.3">
      <c r="A36" s="16" t="s">
        <v>83</v>
      </c>
      <c r="B36" s="14" t="s">
        <v>84</v>
      </c>
      <c r="C36" s="49"/>
      <c r="D36" s="49"/>
      <c r="E36" s="50" t="s">
        <v>39</v>
      </c>
      <c r="F36" s="49"/>
      <c r="G36" s="49"/>
      <c r="H36" s="14">
        <f t="shared" ref="H36:H38" si="8">IF(C36="X",1)+IF(D36="X",2)+IF(E36="X",3)+IF(F36="X",4)+IF(G36="X",5)</f>
        <v>3</v>
      </c>
    </row>
    <row r="37" spans="1:25" ht="21.6" customHeight="1" x14ac:dyDescent="0.3">
      <c r="A37" s="16" t="s">
        <v>85</v>
      </c>
      <c r="B37" s="14" t="s">
        <v>86</v>
      </c>
      <c r="C37" s="49"/>
      <c r="D37" s="49"/>
      <c r="E37" s="49"/>
      <c r="F37" s="49"/>
      <c r="G37" s="50" t="s">
        <v>39</v>
      </c>
      <c r="H37" s="14">
        <f t="shared" si="8"/>
        <v>5</v>
      </c>
    </row>
    <row r="38" spans="1:25" ht="21.6" customHeight="1" x14ac:dyDescent="0.3">
      <c r="A38" s="16" t="s">
        <v>87</v>
      </c>
      <c r="B38" s="14" t="s">
        <v>88</v>
      </c>
      <c r="C38" s="49"/>
      <c r="D38" s="49"/>
      <c r="E38" s="49"/>
      <c r="F38" s="50" t="s">
        <v>39</v>
      </c>
      <c r="G38" s="49"/>
      <c r="H38" s="14">
        <f t="shared" si="8"/>
        <v>4</v>
      </c>
    </row>
    <row r="39" spans="1:25" ht="21.6" customHeight="1" x14ac:dyDescent="0.3">
      <c r="A39" s="23"/>
      <c r="B39" s="22"/>
      <c r="C39" s="51"/>
      <c r="D39" s="51"/>
      <c r="E39" s="51"/>
      <c r="F39" s="51"/>
      <c r="G39" s="5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21.6" customHeight="1" x14ac:dyDescent="0.3">
      <c r="A40" s="19"/>
      <c r="B40" s="16" t="s">
        <v>44</v>
      </c>
      <c r="C40" s="49"/>
      <c r="D40" s="49"/>
      <c r="E40" s="49"/>
      <c r="F40" s="49"/>
      <c r="G40" s="49"/>
    </row>
    <row r="41" spans="1:25" ht="21.6" customHeight="1" x14ac:dyDescent="0.3">
      <c r="A41" s="16" t="s">
        <v>89</v>
      </c>
      <c r="B41" s="14" t="s">
        <v>90</v>
      </c>
      <c r="C41" s="49"/>
      <c r="D41" s="49"/>
      <c r="E41" s="50" t="s">
        <v>39</v>
      </c>
      <c r="F41" s="49"/>
      <c r="G41" s="49"/>
      <c r="H41" s="14">
        <f t="shared" ref="H41:H42" si="9">IF(C41="X",1)+IF(D41="X",2)+IF(E41="X",3)+IF(F41="X",4)+IF(G41="X",5)</f>
        <v>3</v>
      </c>
    </row>
    <row r="42" spans="1:25" ht="21.6" customHeight="1" x14ac:dyDescent="0.3">
      <c r="A42" s="16" t="s">
        <v>91</v>
      </c>
      <c r="B42" s="14" t="s">
        <v>92</v>
      </c>
      <c r="C42" s="49"/>
      <c r="D42" s="50" t="s">
        <v>39</v>
      </c>
      <c r="E42" s="49"/>
      <c r="F42" s="49"/>
      <c r="G42" s="49"/>
      <c r="H42" s="14">
        <f t="shared" si="9"/>
        <v>2</v>
      </c>
    </row>
    <row r="43" spans="1:25" ht="21.6" customHeight="1" x14ac:dyDescent="0.3">
      <c r="A43" s="19"/>
      <c r="B43" s="16" t="s">
        <v>76</v>
      </c>
      <c r="C43" s="49"/>
      <c r="D43" s="49"/>
      <c r="E43" s="49"/>
      <c r="F43" s="49"/>
      <c r="G43" s="49"/>
    </row>
    <row r="44" spans="1:25" ht="21.6" customHeight="1" x14ac:dyDescent="0.3">
      <c r="A44" s="16" t="s">
        <v>93</v>
      </c>
      <c r="B44" s="14" t="s">
        <v>94</v>
      </c>
      <c r="C44" s="49"/>
      <c r="D44" s="49"/>
      <c r="E44" s="50" t="s">
        <v>39</v>
      </c>
      <c r="F44" s="49"/>
      <c r="G44" s="49"/>
      <c r="H44" s="14">
        <f t="shared" ref="H44:H45" si="10">IF(C44="X",1)+IF(D44="X",2)+IF(E44="X",3)+IF(F44="X",4)+IF(G44="X",5)</f>
        <v>3</v>
      </c>
    </row>
    <row r="45" spans="1:25" ht="21.6" customHeight="1" x14ac:dyDescent="0.3">
      <c r="A45" s="16" t="s">
        <v>95</v>
      </c>
      <c r="B45" s="14" t="s">
        <v>96</v>
      </c>
      <c r="C45" s="49"/>
      <c r="D45" s="50" t="s">
        <v>39</v>
      </c>
      <c r="E45" s="49"/>
      <c r="F45" s="49"/>
      <c r="G45" s="49"/>
      <c r="H45" s="14">
        <f t="shared" si="10"/>
        <v>2</v>
      </c>
    </row>
    <row r="46" spans="1:25" ht="21.6" customHeight="1" x14ac:dyDescent="0.3">
      <c r="A46" s="23"/>
      <c r="B46" s="22"/>
      <c r="C46" s="51"/>
      <c r="D46" s="51"/>
      <c r="E46" s="51"/>
      <c r="F46" s="51"/>
      <c r="G46" s="5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21.6" customHeight="1" x14ac:dyDescent="0.3">
      <c r="A47" s="19"/>
      <c r="B47" s="16" t="s">
        <v>30</v>
      </c>
      <c r="C47" s="49"/>
      <c r="D47" s="49"/>
      <c r="E47" s="49"/>
      <c r="F47" s="49"/>
      <c r="G47" s="49"/>
    </row>
    <row r="48" spans="1:25" ht="21.6" customHeight="1" x14ac:dyDescent="0.3">
      <c r="A48" s="16" t="s">
        <v>97</v>
      </c>
      <c r="B48" s="14" t="s">
        <v>145</v>
      </c>
      <c r="C48" s="49"/>
      <c r="D48" s="50" t="s">
        <v>39</v>
      </c>
      <c r="E48" s="49"/>
      <c r="F48" s="49"/>
      <c r="G48" s="49"/>
      <c r="H48" s="14">
        <f t="shared" ref="H48:H50" si="11">IF(C48="X",1)+IF(D48="X",2)+IF(E48="X",3)+IF(F48="X",4)+IF(G48="X",5)</f>
        <v>2</v>
      </c>
    </row>
    <row r="49" spans="1:25" ht="21.6" customHeight="1" x14ac:dyDescent="0.3">
      <c r="A49" s="16" t="s">
        <v>99</v>
      </c>
      <c r="B49" s="14" t="s">
        <v>100</v>
      </c>
      <c r="C49" s="50" t="s">
        <v>39</v>
      </c>
      <c r="D49" s="49"/>
      <c r="E49" s="49"/>
      <c r="F49" s="49"/>
      <c r="G49" s="49"/>
      <c r="H49" s="14">
        <f t="shared" si="11"/>
        <v>1</v>
      </c>
    </row>
    <row r="50" spans="1:25" ht="21.6" customHeight="1" x14ac:dyDescent="0.3">
      <c r="A50" s="16" t="s">
        <v>101</v>
      </c>
      <c r="B50" s="14" t="s">
        <v>102</v>
      </c>
      <c r="C50" s="49"/>
      <c r="D50" s="50" t="s">
        <v>39</v>
      </c>
      <c r="E50" s="49"/>
      <c r="F50" s="49"/>
      <c r="G50" s="49"/>
      <c r="H50" s="14">
        <f t="shared" si="11"/>
        <v>2</v>
      </c>
    </row>
    <row r="51" spans="1:25" ht="21.6" customHeight="1" x14ac:dyDescent="0.3">
      <c r="A51" s="19"/>
      <c r="B51" s="16" t="s">
        <v>57</v>
      </c>
      <c r="C51" s="49"/>
      <c r="D51" s="49"/>
      <c r="E51" s="49"/>
      <c r="F51" s="49"/>
      <c r="G51" s="49"/>
    </row>
    <row r="52" spans="1:25" ht="21.6" customHeight="1" x14ac:dyDescent="0.3">
      <c r="A52" s="16" t="s">
        <v>103</v>
      </c>
      <c r="B52" s="14" t="s">
        <v>104</v>
      </c>
      <c r="C52" s="49"/>
      <c r="D52" s="50" t="s">
        <v>39</v>
      </c>
      <c r="E52" s="49"/>
      <c r="F52" s="49"/>
      <c r="G52" s="49"/>
      <c r="H52" s="14">
        <f t="shared" ref="H52:H53" si="12">IF(C52="X",1)+IF(D52="X",2)+IF(E52="X",3)+IF(F52="X",4)+IF(G52="X",5)</f>
        <v>2</v>
      </c>
    </row>
    <row r="53" spans="1:25" ht="21.6" customHeight="1" x14ac:dyDescent="0.3">
      <c r="A53" s="16" t="s">
        <v>105</v>
      </c>
      <c r="B53" s="14" t="s">
        <v>106</v>
      </c>
      <c r="C53" s="50" t="s">
        <v>39</v>
      </c>
      <c r="D53" s="49"/>
      <c r="E53" s="49"/>
      <c r="F53" s="49"/>
      <c r="G53" s="49"/>
      <c r="H53" s="14">
        <f t="shared" si="12"/>
        <v>1</v>
      </c>
    </row>
    <row r="54" spans="1:25" ht="21.6" customHeight="1" x14ac:dyDescent="0.3">
      <c r="A54" s="23"/>
      <c r="B54" s="22"/>
      <c r="C54" s="51"/>
      <c r="D54" s="51"/>
      <c r="E54" s="51"/>
      <c r="F54" s="51"/>
      <c r="G54" s="5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21.6" customHeight="1" x14ac:dyDescent="0.3">
      <c r="A55" s="19"/>
      <c r="B55" s="16" t="s">
        <v>44</v>
      </c>
      <c r="C55" s="49"/>
      <c r="D55" s="49"/>
      <c r="E55" s="49"/>
      <c r="F55" s="49"/>
      <c r="G55" s="49"/>
    </row>
    <row r="56" spans="1:25" ht="21.6" customHeight="1" x14ac:dyDescent="0.3">
      <c r="A56" s="16" t="s">
        <v>107</v>
      </c>
      <c r="B56" s="14" t="s">
        <v>108</v>
      </c>
      <c r="C56" s="49"/>
      <c r="D56" s="49"/>
      <c r="E56" s="49"/>
      <c r="F56" s="50" t="s">
        <v>39</v>
      </c>
      <c r="G56" s="49"/>
      <c r="H56" s="14">
        <f>IF(C56="X",1)+IF(D56="X",2)+IF(E56="X",3)+IF(F56="X",4)+IF(G56="X",5)</f>
        <v>4</v>
      </c>
    </row>
    <row r="57" spans="1:25" ht="21.6" customHeight="1" x14ac:dyDescent="0.3">
      <c r="A57" s="19"/>
      <c r="B57" s="16" t="s">
        <v>76</v>
      </c>
      <c r="C57" s="49"/>
      <c r="D57" s="49"/>
      <c r="E57" s="49"/>
      <c r="F57" s="49"/>
      <c r="G57" s="49"/>
    </row>
    <row r="58" spans="1:25" ht="21.6" customHeight="1" x14ac:dyDescent="0.3">
      <c r="A58" s="16" t="s">
        <v>109</v>
      </c>
      <c r="B58" s="14" t="s">
        <v>110</v>
      </c>
      <c r="C58" s="49"/>
      <c r="D58" s="49"/>
      <c r="E58" s="50" t="s">
        <v>39</v>
      </c>
      <c r="F58" s="49"/>
      <c r="G58" s="49"/>
      <c r="H58" s="14">
        <f t="shared" ref="H58:H59" si="13">IF(C58="X",1)+IF(D58="X",2)+IF(E58="X",3)+IF(F58="X",4)+IF(G58="X",5)</f>
        <v>3</v>
      </c>
    </row>
    <row r="59" spans="1:25" ht="21.6" customHeight="1" x14ac:dyDescent="0.3">
      <c r="A59" s="16" t="s">
        <v>111</v>
      </c>
      <c r="B59" s="14" t="s">
        <v>112</v>
      </c>
      <c r="C59" s="49"/>
      <c r="D59" s="49"/>
      <c r="E59" s="50" t="s">
        <v>39</v>
      </c>
      <c r="F59" s="49"/>
      <c r="G59" s="49"/>
      <c r="H59" s="14">
        <f t="shared" si="13"/>
        <v>3</v>
      </c>
    </row>
    <row r="60" spans="1:25" ht="21.6" customHeight="1" x14ac:dyDescent="0.3">
      <c r="A60" s="19"/>
      <c r="B60" s="16" t="s">
        <v>57</v>
      </c>
      <c r="C60" s="49"/>
      <c r="D60" s="49"/>
      <c r="E60" s="49"/>
      <c r="F60" s="49"/>
      <c r="G60" s="49"/>
    </row>
    <row r="61" spans="1:25" ht="21.6" customHeight="1" x14ac:dyDescent="0.3">
      <c r="A61" s="16" t="s">
        <v>113</v>
      </c>
      <c r="B61" s="14" t="s">
        <v>114</v>
      </c>
      <c r="C61" s="49"/>
      <c r="D61" s="49"/>
      <c r="E61" s="49"/>
      <c r="F61" s="50" t="s">
        <v>39</v>
      </c>
      <c r="G61" s="49"/>
      <c r="H61" s="14">
        <f t="shared" ref="H61:H63" si="14">IF(C61="X",1)+IF(D61="X",2)+IF(E61="X",3)+IF(F61="X",4)+IF(G61="X",5)</f>
        <v>4</v>
      </c>
    </row>
    <row r="62" spans="1:25" ht="21.6" customHeight="1" x14ac:dyDescent="0.3">
      <c r="A62" s="16" t="s">
        <v>115</v>
      </c>
      <c r="B62" s="14" t="s">
        <v>116</v>
      </c>
      <c r="C62" s="49"/>
      <c r="D62" s="49"/>
      <c r="E62" s="49"/>
      <c r="F62" s="50" t="s">
        <v>39</v>
      </c>
      <c r="G62" s="49"/>
      <c r="H62" s="14">
        <f t="shared" si="14"/>
        <v>4</v>
      </c>
    </row>
    <row r="63" spans="1:25" ht="21.6" customHeight="1" x14ac:dyDescent="0.3">
      <c r="A63" s="16" t="s">
        <v>117</v>
      </c>
      <c r="B63" s="14" t="s">
        <v>118</v>
      </c>
      <c r="C63" s="49"/>
      <c r="D63" s="49"/>
      <c r="E63" s="49"/>
      <c r="F63" s="49"/>
      <c r="G63" s="50" t="s">
        <v>39</v>
      </c>
      <c r="H63" s="14">
        <f t="shared" si="14"/>
        <v>5</v>
      </c>
    </row>
    <row r="64" spans="1:25" ht="21.6" customHeight="1" x14ac:dyDescent="0.3">
      <c r="A64" s="22"/>
      <c r="B64" s="22"/>
      <c r="C64" s="51"/>
      <c r="D64" s="51"/>
      <c r="E64" s="51"/>
      <c r="F64" s="51"/>
      <c r="G64" s="5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21.6" customHeight="1" x14ac:dyDescent="0.3">
      <c r="A65" s="19"/>
      <c r="B65" s="16" t="s">
        <v>30</v>
      </c>
      <c r="C65" s="49"/>
      <c r="D65" s="49"/>
      <c r="E65" s="49"/>
      <c r="F65" s="49"/>
      <c r="G65" s="49"/>
    </row>
    <row r="66" spans="1:25" ht="21.6" customHeight="1" x14ac:dyDescent="0.3">
      <c r="A66" s="16" t="s">
        <v>119</v>
      </c>
      <c r="B66" s="25" t="s">
        <v>120</v>
      </c>
      <c r="C66" s="49"/>
      <c r="D66" s="50" t="s">
        <v>39</v>
      </c>
      <c r="E66" s="49"/>
      <c r="F66" s="49"/>
      <c r="G66" s="49"/>
      <c r="H66" s="14">
        <f t="shared" ref="H66:H67" si="15">IF(C66="X",1)+IF(D66="X",2)+IF(E66="X",3)+IF(F66="X",4)+IF(G66="X",5)</f>
        <v>2</v>
      </c>
    </row>
    <row r="67" spans="1:25" ht="21.6" customHeight="1" x14ac:dyDescent="0.3">
      <c r="A67" s="16" t="s">
        <v>121</v>
      </c>
      <c r="B67" s="25" t="s">
        <v>122</v>
      </c>
      <c r="C67" s="49"/>
      <c r="D67" s="49"/>
      <c r="E67" s="49"/>
      <c r="F67" s="50" t="s">
        <v>39</v>
      </c>
      <c r="G67" s="49"/>
      <c r="H67" s="14">
        <f t="shared" si="15"/>
        <v>4</v>
      </c>
    </row>
    <row r="68" spans="1:25" ht="21.6" customHeight="1" x14ac:dyDescent="0.3">
      <c r="A68" s="19"/>
      <c r="B68" s="16" t="s">
        <v>44</v>
      </c>
      <c r="C68" s="49"/>
      <c r="D68" s="49"/>
      <c r="E68" s="49"/>
      <c r="F68" s="49"/>
      <c r="G68" s="49"/>
    </row>
    <row r="69" spans="1:25" ht="21.6" customHeight="1" x14ac:dyDescent="0.3">
      <c r="A69" s="16" t="s">
        <v>123</v>
      </c>
      <c r="B69" s="25" t="s">
        <v>124</v>
      </c>
      <c r="C69" s="50" t="s">
        <v>39</v>
      </c>
      <c r="D69" s="49"/>
      <c r="E69" s="49"/>
      <c r="F69" s="49"/>
      <c r="G69" s="49"/>
      <c r="H69" s="14">
        <f>IF(C69="X",1)+IF(D69="X",2)+IF(E69="X",3)+IF(F69="X",4)+IF(G69="X",5)</f>
        <v>1</v>
      </c>
    </row>
    <row r="70" spans="1:25" ht="21.6" customHeight="1" x14ac:dyDescent="0.3">
      <c r="A70" s="19"/>
      <c r="B70" s="16" t="s">
        <v>76</v>
      </c>
      <c r="C70" s="49"/>
      <c r="D70" s="49"/>
      <c r="E70" s="49"/>
      <c r="F70" s="49"/>
      <c r="G70" s="49"/>
    </row>
    <row r="71" spans="1:25" ht="21.6" customHeight="1" x14ac:dyDescent="0.3">
      <c r="A71" s="16" t="s">
        <v>125</v>
      </c>
      <c r="B71" s="25" t="s">
        <v>126</v>
      </c>
      <c r="C71" s="49"/>
      <c r="D71" s="49"/>
      <c r="E71" s="50" t="s">
        <v>39</v>
      </c>
      <c r="F71" s="49"/>
      <c r="G71" s="49"/>
      <c r="H71" s="14">
        <f t="shared" ref="H71:H72" si="16">IF(C71="X",1)+IF(D71="X",2)+IF(E71="X",3)+IF(F71="X",4)+IF(G71="X",5)</f>
        <v>3</v>
      </c>
    </row>
    <row r="72" spans="1:25" ht="21.6" customHeight="1" x14ac:dyDescent="0.3">
      <c r="A72" s="16" t="s">
        <v>127</v>
      </c>
      <c r="B72" s="25" t="s">
        <v>128</v>
      </c>
      <c r="C72" s="49"/>
      <c r="D72" s="49"/>
      <c r="E72" s="49"/>
      <c r="F72" s="50" t="s">
        <v>39</v>
      </c>
      <c r="G72" s="49"/>
      <c r="H72" s="14">
        <f t="shared" si="16"/>
        <v>4</v>
      </c>
    </row>
    <row r="73" spans="1:25" ht="21.6" customHeight="1" x14ac:dyDescent="0.3">
      <c r="A73" s="19"/>
      <c r="B73" s="16" t="s">
        <v>57</v>
      </c>
      <c r="C73" s="49"/>
      <c r="D73" s="49"/>
      <c r="E73" s="49"/>
      <c r="F73" s="49"/>
      <c r="G73" s="49"/>
    </row>
    <row r="74" spans="1:25" ht="21.6" customHeight="1" x14ac:dyDescent="0.3">
      <c r="A74" s="16" t="s">
        <v>129</v>
      </c>
      <c r="B74" s="25" t="s">
        <v>130</v>
      </c>
      <c r="C74" s="49"/>
      <c r="D74" s="49"/>
      <c r="E74" s="49"/>
      <c r="F74" s="50" t="s">
        <v>39</v>
      </c>
      <c r="G74" s="49"/>
      <c r="H74" s="14">
        <f t="shared" ref="H74:H75" si="17">IF(C74="X",1)+IF(D74="X",2)+IF(E74="X",3)+IF(F74="X",4)+IF(G74="X",5)</f>
        <v>4</v>
      </c>
    </row>
    <row r="75" spans="1:25" ht="21.6" customHeight="1" x14ac:dyDescent="0.3">
      <c r="A75" s="16" t="s">
        <v>131</v>
      </c>
      <c r="B75" s="14" t="s">
        <v>132</v>
      </c>
      <c r="C75" s="49"/>
      <c r="D75" s="49"/>
      <c r="E75" s="49"/>
      <c r="F75" s="49"/>
      <c r="G75" s="50" t="s">
        <v>39</v>
      </c>
      <c r="H75" s="14">
        <f t="shared" si="17"/>
        <v>5</v>
      </c>
    </row>
    <row r="76" spans="1:25" ht="21.6" customHeight="1" x14ac:dyDescent="0.3">
      <c r="A76" s="22"/>
      <c r="B76" s="22"/>
      <c r="C76" s="51"/>
      <c r="D76" s="51"/>
      <c r="E76" s="51"/>
      <c r="F76" s="51"/>
      <c r="G76" s="5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21.6" customHeight="1" x14ac:dyDescent="0.3">
      <c r="A77" s="19"/>
      <c r="B77" s="16" t="s">
        <v>30</v>
      </c>
      <c r="C77" s="52"/>
      <c r="D77" s="49"/>
      <c r="E77" s="49"/>
      <c r="F77" s="49"/>
      <c r="G77" s="49"/>
    </row>
    <row r="78" spans="1:25" ht="21.6" customHeight="1" x14ac:dyDescent="0.3">
      <c r="A78" s="16" t="s">
        <v>133</v>
      </c>
      <c r="B78" s="25" t="s">
        <v>134</v>
      </c>
      <c r="C78" s="49"/>
      <c r="D78" s="50" t="s">
        <v>39</v>
      </c>
      <c r="E78" s="49"/>
      <c r="F78" s="49"/>
      <c r="G78" s="49"/>
      <c r="H78" s="14">
        <f>IF(C78="X",1)+IF(D78="X",2)+IF(E78="X",3)+IF(F78="X",4)+IF(G78="X",5)</f>
        <v>2</v>
      </c>
    </row>
    <row r="79" spans="1:25" ht="21.6" customHeight="1" x14ac:dyDescent="0.3">
      <c r="A79" s="19"/>
      <c r="B79" s="16" t="s">
        <v>44</v>
      </c>
      <c r="C79" s="49"/>
      <c r="D79" s="49"/>
      <c r="E79" s="49"/>
      <c r="F79" s="49"/>
      <c r="G79" s="49"/>
    </row>
    <row r="80" spans="1:25" ht="21.6" customHeight="1" x14ac:dyDescent="0.3">
      <c r="A80" s="16" t="s">
        <v>135</v>
      </c>
      <c r="B80" s="25" t="s">
        <v>136</v>
      </c>
      <c r="C80" s="49"/>
      <c r="D80" s="50" t="s">
        <v>39</v>
      </c>
      <c r="E80" s="49"/>
      <c r="F80" s="49"/>
      <c r="G80" s="49"/>
      <c r="H80" s="14">
        <f>IF(C80="X",1)+IF(D80="X",2)+IF(E80="X",3)+IF(F80="X",4)+IF(G80="X",5)</f>
        <v>2</v>
      </c>
    </row>
    <row r="81" spans="1:8" ht="21.6" customHeight="1" x14ac:dyDescent="0.3">
      <c r="A81" s="19"/>
      <c r="B81" s="16" t="s">
        <v>76</v>
      </c>
      <c r="C81" s="49"/>
      <c r="D81" s="49"/>
      <c r="E81" s="49"/>
      <c r="F81" s="49"/>
      <c r="G81" s="49"/>
    </row>
    <row r="82" spans="1:8" ht="21.6" customHeight="1" x14ac:dyDescent="0.3">
      <c r="A82" s="16" t="s">
        <v>137</v>
      </c>
      <c r="B82" s="25" t="s">
        <v>138</v>
      </c>
      <c r="C82" s="49"/>
      <c r="D82" s="49"/>
      <c r="E82" s="50" t="s">
        <v>39</v>
      </c>
      <c r="F82" s="49"/>
      <c r="G82" s="49"/>
      <c r="H82" s="14">
        <f t="shared" ref="H82:H83" si="18">IF(C82="X",1)+IF(D82="X",2)+IF(E82="X",3)+IF(F82="X",4)+IF(G82="X",5)</f>
        <v>3</v>
      </c>
    </row>
    <row r="83" spans="1:8" ht="21.6" customHeight="1" x14ac:dyDescent="0.3">
      <c r="A83" s="16" t="s">
        <v>139</v>
      </c>
      <c r="B83" s="25" t="s">
        <v>140</v>
      </c>
      <c r="C83" s="49"/>
      <c r="D83" s="49"/>
      <c r="E83" s="50" t="s">
        <v>39</v>
      </c>
      <c r="F83" s="49"/>
      <c r="G83" s="49"/>
      <c r="H83" s="14">
        <f t="shared" si="18"/>
        <v>3</v>
      </c>
    </row>
    <row r="84" spans="1:8" ht="21.6" customHeight="1" x14ac:dyDescent="0.3">
      <c r="A84" s="19"/>
      <c r="B84" s="16" t="s">
        <v>57</v>
      </c>
      <c r="C84" s="49"/>
      <c r="D84" s="49"/>
      <c r="E84" s="49"/>
      <c r="F84" s="49"/>
      <c r="G84" s="49"/>
    </row>
    <row r="85" spans="1:8" ht="21.6" customHeight="1" x14ac:dyDescent="0.3">
      <c r="A85" s="16" t="s">
        <v>141</v>
      </c>
      <c r="B85" s="25" t="s">
        <v>142</v>
      </c>
      <c r="C85" s="49"/>
      <c r="D85" s="49"/>
      <c r="E85" s="49"/>
      <c r="F85" s="50" t="s">
        <v>39</v>
      </c>
      <c r="G85" s="49"/>
      <c r="H85" s="14">
        <f t="shared" ref="H85:H86" si="19">IF(C85="X",1)+IF(D85="X",2)+IF(E85="X",3)+IF(F85="X",4)+IF(G85="X",5)</f>
        <v>4</v>
      </c>
    </row>
    <row r="86" spans="1:8" ht="21.6" customHeight="1" x14ac:dyDescent="0.3">
      <c r="A86" s="16" t="s">
        <v>143</v>
      </c>
      <c r="B86" s="25" t="s">
        <v>144</v>
      </c>
      <c r="C86" s="49"/>
      <c r="D86" s="49"/>
      <c r="E86" s="49"/>
      <c r="F86" s="49"/>
      <c r="G86" s="50" t="s">
        <v>39</v>
      </c>
      <c r="H86" s="14">
        <f t="shared" si="19"/>
        <v>5</v>
      </c>
    </row>
  </sheetData>
  <conditionalFormatting sqref="A84:A86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4"/>
  <sheetViews>
    <sheetView topLeftCell="A15" zoomScale="73" workbookViewId="0">
      <selection activeCell="B22" sqref="B22"/>
    </sheetView>
  </sheetViews>
  <sheetFormatPr defaultColWidth="11.19921875" defaultRowHeight="15" customHeight="1" x14ac:dyDescent="0.3"/>
  <cols>
    <col min="1" max="1" width="18.69921875" customWidth="1"/>
    <col min="2" max="2" width="141" bestFit="1" customWidth="1"/>
    <col min="3" max="3" width="8.69921875" customWidth="1"/>
    <col min="4" max="4" width="12.8984375" customWidth="1"/>
    <col min="5" max="5" width="8.69921875" customWidth="1"/>
    <col min="6" max="6" width="15.5" customWidth="1"/>
    <col min="7" max="7" width="13.5" customWidth="1"/>
    <col min="8" max="8" width="14.69921875" customWidth="1"/>
    <col min="9" max="25" width="8.69921875" customWidth="1"/>
  </cols>
  <sheetData>
    <row r="1" spans="1:25" ht="42.6" thickBot="1" x14ac:dyDescent="0.35">
      <c r="B1" s="16" t="s">
        <v>44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7" t="s">
        <v>36</v>
      </c>
    </row>
    <row r="2" spans="1:25" ht="21.6" thickBot="1" x14ac:dyDescent="0.35">
      <c r="A2" s="16" t="s">
        <v>89</v>
      </c>
      <c r="B2" s="14" t="s">
        <v>90</v>
      </c>
      <c r="C2" s="45"/>
      <c r="D2" s="45"/>
      <c r="E2" s="45"/>
      <c r="F2" s="46" t="s">
        <v>39</v>
      </c>
      <c r="G2" s="45"/>
      <c r="H2" s="14">
        <f t="shared" ref="H2:H3" si="0">IF(C2="X",1)+IF(D2="X",2)+IF(E2="X",3)+IF(F2="X",4)+IF(G2="X",5)</f>
        <v>4</v>
      </c>
    </row>
    <row r="3" spans="1:25" ht="21.6" thickBot="1" x14ac:dyDescent="0.35">
      <c r="A3" s="16" t="s">
        <v>91</v>
      </c>
      <c r="B3" s="14" t="s">
        <v>92</v>
      </c>
      <c r="C3" s="45"/>
      <c r="D3" s="45"/>
      <c r="E3" s="45"/>
      <c r="F3" s="45"/>
      <c r="G3" s="46" t="s">
        <v>39</v>
      </c>
      <c r="H3" s="14">
        <f t="shared" si="0"/>
        <v>5</v>
      </c>
    </row>
    <row r="4" spans="1:25" ht="21.6" thickBot="1" x14ac:dyDescent="0.35">
      <c r="A4" s="19"/>
      <c r="B4" s="16" t="s">
        <v>76</v>
      </c>
      <c r="C4" s="45"/>
      <c r="D4" s="45"/>
      <c r="E4" s="45"/>
      <c r="F4" s="45"/>
      <c r="G4" s="45"/>
    </row>
    <row r="5" spans="1:25" ht="21.6" thickBot="1" x14ac:dyDescent="0.35">
      <c r="A5" s="16" t="s">
        <v>93</v>
      </c>
      <c r="B5" s="14" t="s">
        <v>94</v>
      </c>
      <c r="C5" s="45"/>
      <c r="D5" s="45"/>
      <c r="E5" s="45"/>
      <c r="F5" s="46" t="s">
        <v>39</v>
      </c>
      <c r="G5" s="45"/>
      <c r="H5" s="14">
        <f t="shared" ref="H5:H6" si="1">IF(C5="X",1)+IF(D5="X",2)+IF(E5="X",3)+IF(F5="X",4)+IF(G5="X",5)</f>
        <v>4</v>
      </c>
    </row>
    <row r="6" spans="1:25" ht="21.6" thickBot="1" x14ac:dyDescent="0.35">
      <c r="A6" s="16" t="s">
        <v>95</v>
      </c>
      <c r="B6" s="14" t="s">
        <v>96</v>
      </c>
      <c r="C6" s="45"/>
      <c r="D6" s="45"/>
      <c r="E6" s="45"/>
      <c r="F6" s="45"/>
      <c r="G6" s="46" t="s">
        <v>39</v>
      </c>
      <c r="H6" s="14">
        <f t="shared" si="1"/>
        <v>5</v>
      </c>
    </row>
    <row r="7" spans="1:25" ht="16.2" thickBot="1" x14ac:dyDescent="0.35">
      <c r="A7" s="22"/>
      <c r="B7" s="22"/>
      <c r="C7" s="47"/>
      <c r="D7" s="47"/>
      <c r="E7" s="47"/>
      <c r="F7" s="47"/>
      <c r="G7" s="47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21.6" thickBot="1" x14ac:dyDescent="0.35">
      <c r="A8" s="19"/>
      <c r="B8" s="16" t="s">
        <v>30</v>
      </c>
      <c r="C8" s="45"/>
      <c r="D8" s="45"/>
      <c r="E8" s="45"/>
      <c r="F8" s="45"/>
      <c r="G8" s="45"/>
    </row>
    <row r="9" spans="1:25" ht="21.6" thickBot="1" x14ac:dyDescent="0.35">
      <c r="A9" s="16" t="s">
        <v>119</v>
      </c>
      <c r="B9" s="25" t="s">
        <v>146</v>
      </c>
      <c r="C9" s="45"/>
      <c r="D9" s="45"/>
      <c r="E9" s="45"/>
      <c r="F9" s="46" t="s">
        <v>39</v>
      </c>
      <c r="G9" s="45"/>
      <c r="H9" s="14">
        <f t="shared" ref="H9:H10" si="2">IF(C9="X",1)+IF(D9="X",2)+IF(E9="X",3)+IF(F9="X",4)+IF(G9="X",5)</f>
        <v>4</v>
      </c>
    </row>
    <row r="10" spans="1:25" ht="21.6" thickBot="1" x14ac:dyDescent="0.35">
      <c r="A10" s="16" t="s">
        <v>121</v>
      </c>
      <c r="B10" s="25" t="s">
        <v>122</v>
      </c>
      <c r="C10" s="45"/>
      <c r="D10" s="45"/>
      <c r="E10" s="45"/>
      <c r="F10" s="46" t="s">
        <v>39</v>
      </c>
      <c r="G10" s="45"/>
      <c r="H10" s="14">
        <f t="shared" si="2"/>
        <v>4</v>
      </c>
    </row>
    <row r="11" spans="1:25" ht="21.6" thickBot="1" x14ac:dyDescent="0.35">
      <c r="A11" s="19"/>
      <c r="B11" s="16" t="s">
        <v>44</v>
      </c>
      <c r="C11" s="45"/>
      <c r="D11" s="45"/>
      <c r="E11" s="45"/>
      <c r="F11" s="45"/>
      <c r="G11" s="45"/>
    </row>
    <row r="12" spans="1:25" ht="21.6" thickBot="1" x14ac:dyDescent="0.35">
      <c r="A12" s="16" t="s">
        <v>123</v>
      </c>
      <c r="B12" s="25" t="s">
        <v>124</v>
      </c>
      <c r="C12" s="45"/>
      <c r="D12" s="46" t="s">
        <v>39</v>
      </c>
      <c r="E12" s="45"/>
      <c r="F12" s="45"/>
      <c r="G12" s="45"/>
      <c r="H12" s="14">
        <f>IF(C12="X",1)+IF(D12="X",2)+IF(E12="X",3)+IF(F12="X",4)+IF(G12="X",5)</f>
        <v>2</v>
      </c>
    </row>
    <row r="13" spans="1:25" ht="21.6" thickBot="1" x14ac:dyDescent="0.35">
      <c r="A13" s="19"/>
      <c r="B13" s="16" t="s">
        <v>76</v>
      </c>
      <c r="C13" s="45"/>
      <c r="D13" s="45"/>
      <c r="E13" s="45"/>
      <c r="F13" s="45"/>
      <c r="G13" s="45"/>
    </row>
    <row r="14" spans="1:25" ht="21.6" thickBot="1" x14ac:dyDescent="0.35">
      <c r="A14" s="16" t="s">
        <v>125</v>
      </c>
      <c r="B14" s="25" t="s">
        <v>126</v>
      </c>
      <c r="C14" s="45"/>
      <c r="D14" s="45"/>
      <c r="E14" s="45"/>
      <c r="F14" s="46" t="s">
        <v>39</v>
      </c>
      <c r="G14" s="45"/>
      <c r="H14" s="14">
        <f t="shared" ref="H14:H15" si="3">IF(C14="X",1)+IF(D14="X",2)+IF(E14="X",3)+IF(F14="X",4)+IF(G14="X",5)</f>
        <v>4</v>
      </c>
    </row>
    <row r="15" spans="1:25" ht="21.6" thickBot="1" x14ac:dyDescent="0.35">
      <c r="A15" s="16" t="s">
        <v>127</v>
      </c>
      <c r="B15" s="25" t="s">
        <v>128</v>
      </c>
      <c r="C15" s="45"/>
      <c r="D15" s="45"/>
      <c r="E15" s="45"/>
      <c r="F15" s="45"/>
      <c r="G15" s="46" t="s">
        <v>39</v>
      </c>
      <c r="H15" s="14">
        <f t="shared" si="3"/>
        <v>5</v>
      </c>
    </row>
    <row r="16" spans="1:25" ht="21.6" thickBot="1" x14ac:dyDescent="0.35">
      <c r="A16" s="19"/>
      <c r="B16" s="16" t="s">
        <v>57</v>
      </c>
      <c r="C16" s="45"/>
      <c r="D16" s="45"/>
      <c r="E16" s="45"/>
      <c r="F16" s="45"/>
      <c r="G16" s="45"/>
    </row>
    <row r="17" spans="1:25" ht="21.6" thickBot="1" x14ac:dyDescent="0.35">
      <c r="A17" s="16" t="s">
        <v>129</v>
      </c>
      <c r="B17" s="25" t="s">
        <v>130</v>
      </c>
      <c r="C17" s="45"/>
      <c r="D17" s="45"/>
      <c r="E17" s="45"/>
      <c r="F17" s="45"/>
      <c r="G17" s="46" t="s">
        <v>39</v>
      </c>
      <c r="H17" s="14">
        <f t="shared" ref="H17:H18" si="4">IF(C17="X",1)+IF(D17="X",2)+IF(E17="X",3)+IF(F17="X",4)+IF(G17="X",5)</f>
        <v>5</v>
      </c>
    </row>
    <row r="18" spans="1:25" ht="21.6" thickBot="1" x14ac:dyDescent="0.35">
      <c r="A18" s="16" t="s">
        <v>131</v>
      </c>
      <c r="B18" s="14" t="s">
        <v>132</v>
      </c>
      <c r="C18" s="45"/>
      <c r="D18" s="45"/>
      <c r="E18" s="45"/>
      <c r="F18" s="46" t="s">
        <v>39</v>
      </c>
      <c r="G18" s="45"/>
      <c r="H18" s="14">
        <f t="shared" si="4"/>
        <v>4</v>
      </c>
    </row>
    <row r="19" spans="1:25" ht="16.2" thickBot="1" x14ac:dyDescent="0.35">
      <c r="A19" s="23"/>
      <c r="B19" s="22"/>
      <c r="C19" s="47"/>
      <c r="D19" s="47"/>
      <c r="E19" s="47"/>
      <c r="F19" s="47"/>
      <c r="G19" s="47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21.6" thickBot="1" x14ac:dyDescent="0.35">
      <c r="A20" s="19"/>
      <c r="B20" s="16" t="s">
        <v>30</v>
      </c>
      <c r="C20" s="45"/>
      <c r="D20" s="45"/>
      <c r="E20" s="45"/>
      <c r="F20" s="45"/>
      <c r="G20" s="45"/>
    </row>
    <row r="21" spans="1:25" ht="21.6" thickBot="1" x14ac:dyDescent="0.35">
      <c r="A21" s="16" t="s">
        <v>147</v>
      </c>
      <c r="B21" s="25" t="s">
        <v>148</v>
      </c>
      <c r="C21" s="45"/>
      <c r="D21" s="45"/>
      <c r="E21" s="45"/>
      <c r="F21" s="46" t="s">
        <v>39</v>
      </c>
      <c r="G21" s="45"/>
      <c r="H21" s="14">
        <f t="shared" ref="H21:H22" si="5">IF(C21="X",1)+IF(D21="X",2)+IF(E21="X",3)+IF(F21="X",4)+IF(G21="X",5)</f>
        <v>4</v>
      </c>
    </row>
    <row r="22" spans="1:25" ht="21.6" thickBot="1" x14ac:dyDescent="0.35">
      <c r="A22" s="16" t="s">
        <v>149</v>
      </c>
      <c r="B22" s="25" t="s">
        <v>150</v>
      </c>
      <c r="C22" s="45"/>
      <c r="D22" s="45"/>
      <c r="E22" s="45"/>
      <c r="F22" s="46" t="s">
        <v>39</v>
      </c>
      <c r="G22" s="45"/>
      <c r="H22" s="14">
        <f t="shared" si="5"/>
        <v>4</v>
      </c>
    </row>
    <row r="23" spans="1:25" ht="21.6" thickBot="1" x14ac:dyDescent="0.35">
      <c r="A23" s="19"/>
      <c r="B23" s="16" t="s">
        <v>44</v>
      </c>
      <c r="C23" s="45"/>
      <c r="D23" s="45"/>
      <c r="E23" s="45"/>
      <c r="F23" s="45"/>
      <c r="G23" s="45"/>
    </row>
    <row r="24" spans="1:25" ht="21.6" thickBot="1" x14ac:dyDescent="0.35">
      <c r="A24" s="16" t="s">
        <v>151</v>
      </c>
      <c r="B24" s="25" t="s">
        <v>152</v>
      </c>
      <c r="C24" s="45"/>
      <c r="D24" s="45"/>
      <c r="E24" s="46" t="s">
        <v>39</v>
      </c>
      <c r="F24" s="45"/>
      <c r="G24" s="45"/>
      <c r="H24" s="14">
        <f>IF(C24="X",1)+IF(D24="X",2)+IF(E24="X",3)+IF(F24="X",4)+IF(G24="X",5)</f>
        <v>3</v>
      </c>
    </row>
    <row r="25" spans="1:25" ht="21.6" thickBot="1" x14ac:dyDescent="0.35">
      <c r="A25" s="19"/>
      <c r="B25" s="16" t="s">
        <v>76</v>
      </c>
      <c r="C25" s="45"/>
      <c r="D25" s="45"/>
      <c r="E25" s="45"/>
      <c r="F25" s="45"/>
      <c r="G25" s="45"/>
    </row>
    <row r="26" spans="1:25" ht="21.6" thickBot="1" x14ac:dyDescent="0.35">
      <c r="A26" s="16" t="s">
        <v>153</v>
      </c>
      <c r="B26" s="25" t="s">
        <v>154</v>
      </c>
      <c r="C26" s="45"/>
      <c r="D26" s="45"/>
      <c r="E26" s="46" t="s">
        <v>39</v>
      </c>
      <c r="F26" s="45"/>
      <c r="G26" s="45"/>
      <c r="H26" s="14">
        <f t="shared" ref="H26:H27" si="6">IF(C26="X",1)+IF(D26="X",2)+IF(E26="X",3)+IF(F26="X",4)+IF(G26="X",5)</f>
        <v>3</v>
      </c>
    </row>
    <row r="27" spans="1:25" ht="21.6" thickBot="1" x14ac:dyDescent="0.35">
      <c r="A27" s="16" t="s">
        <v>155</v>
      </c>
      <c r="B27" s="25" t="s">
        <v>156</v>
      </c>
      <c r="C27" s="45"/>
      <c r="D27" s="46" t="s">
        <v>39</v>
      </c>
      <c r="E27" s="45"/>
      <c r="F27" s="45"/>
      <c r="G27" s="45"/>
      <c r="H27" s="14">
        <f t="shared" si="6"/>
        <v>2</v>
      </c>
    </row>
    <row r="28" spans="1:25" ht="21.6" thickBot="1" x14ac:dyDescent="0.35">
      <c r="A28" s="19"/>
      <c r="B28" s="16" t="s">
        <v>57</v>
      </c>
      <c r="C28" s="45"/>
      <c r="D28" s="45"/>
      <c r="E28" s="45"/>
      <c r="F28" s="45"/>
      <c r="G28" s="45"/>
    </row>
    <row r="29" spans="1:25" ht="21.6" thickBot="1" x14ac:dyDescent="0.35">
      <c r="A29" s="16" t="s">
        <v>157</v>
      </c>
      <c r="B29" s="25" t="s">
        <v>158</v>
      </c>
      <c r="C29" s="45"/>
      <c r="D29" s="45"/>
      <c r="E29" s="45"/>
      <c r="F29" s="46" t="s">
        <v>39</v>
      </c>
      <c r="G29" s="45"/>
      <c r="H29" s="14">
        <f t="shared" ref="H29:H30" si="7">IF(C29="X",1)+IF(D29="X",2)+IF(E29="X",3)+IF(F29="X",4)+IF(G29="X",5)</f>
        <v>4</v>
      </c>
    </row>
    <row r="30" spans="1:25" ht="21.6" thickBot="1" x14ac:dyDescent="0.35">
      <c r="A30" s="16" t="s">
        <v>159</v>
      </c>
      <c r="B30" s="25" t="s">
        <v>160</v>
      </c>
      <c r="C30" s="45"/>
      <c r="D30" s="45"/>
      <c r="E30" s="45"/>
      <c r="F30" s="45"/>
      <c r="G30" s="46" t="s">
        <v>39</v>
      </c>
      <c r="H30" s="14">
        <f t="shared" si="7"/>
        <v>5</v>
      </c>
    </row>
    <row r="31" spans="1:25" ht="16.2" thickBot="1" x14ac:dyDescent="0.35">
      <c r="A31" s="23"/>
      <c r="B31" s="22"/>
      <c r="C31" s="47"/>
      <c r="D31" s="47"/>
      <c r="E31" s="47"/>
      <c r="F31" s="47"/>
      <c r="G31" s="47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21.6" thickBot="1" x14ac:dyDescent="0.35">
      <c r="A32" s="19"/>
      <c r="B32" s="16" t="s">
        <v>30</v>
      </c>
      <c r="C32" s="45"/>
      <c r="D32" s="45"/>
      <c r="E32" s="45"/>
      <c r="F32" s="45"/>
      <c r="G32" s="45"/>
    </row>
    <row r="33" spans="1:25" ht="21.6" thickBot="1" x14ac:dyDescent="0.35">
      <c r="A33" s="16" t="s">
        <v>161</v>
      </c>
      <c r="B33" s="25" t="s">
        <v>162</v>
      </c>
      <c r="C33" s="45"/>
      <c r="D33" s="45"/>
      <c r="E33" s="45"/>
      <c r="F33" s="46" t="s">
        <v>39</v>
      </c>
      <c r="G33" s="45"/>
      <c r="H33" s="14">
        <f t="shared" ref="H33:H34" si="8">IF(C33="X",1)+IF(D33="X",2)+IF(E33="X",3)+IF(F33="X",4)+IF(G33="X",5)</f>
        <v>4</v>
      </c>
    </row>
    <row r="34" spans="1:25" ht="21.6" thickBot="1" x14ac:dyDescent="0.35">
      <c r="A34" s="16" t="s">
        <v>163</v>
      </c>
      <c r="B34" s="14" t="s">
        <v>164</v>
      </c>
      <c r="C34" s="45"/>
      <c r="D34" s="45"/>
      <c r="E34" s="46" t="s">
        <v>39</v>
      </c>
      <c r="F34" s="45"/>
      <c r="G34" s="45"/>
      <c r="H34" s="14">
        <f t="shared" si="8"/>
        <v>3</v>
      </c>
    </row>
    <row r="35" spans="1:25" ht="21.6" thickBot="1" x14ac:dyDescent="0.35">
      <c r="A35" s="19"/>
      <c r="B35" s="16" t="s">
        <v>44</v>
      </c>
      <c r="C35" s="45"/>
      <c r="D35" s="45"/>
      <c r="E35" s="45"/>
      <c r="F35" s="45"/>
      <c r="G35" s="45"/>
    </row>
    <row r="36" spans="1:25" ht="21.6" thickBot="1" x14ac:dyDescent="0.35">
      <c r="A36" s="16" t="s">
        <v>165</v>
      </c>
      <c r="B36" s="25" t="s">
        <v>166</v>
      </c>
      <c r="C36" s="45"/>
      <c r="D36" s="45"/>
      <c r="E36" s="46" t="s">
        <v>39</v>
      </c>
      <c r="F36" s="45"/>
      <c r="G36" s="45"/>
      <c r="H36" s="14">
        <f>IF(C36="X",1)+IF(D36="X",2)+IF(E36="X",3)+IF(F36="X",4)+IF(G36="X",5)</f>
        <v>3</v>
      </c>
    </row>
    <row r="37" spans="1:25" ht="21.6" thickBot="1" x14ac:dyDescent="0.35">
      <c r="A37" s="19"/>
      <c r="B37" s="16" t="s">
        <v>76</v>
      </c>
      <c r="C37" s="45"/>
      <c r="D37" s="45"/>
      <c r="E37" s="45"/>
      <c r="F37" s="45"/>
      <c r="G37" s="45"/>
    </row>
    <row r="38" spans="1:25" ht="21.6" thickBot="1" x14ac:dyDescent="0.35">
      <c r="A38" s="16" t="s">
        <v>167</v>
      </c>
      <c r="B38" s="25" t="s">
        <v>168</v>
      </c>
      <c r="C38" s="45"/>
      <c r="D38" s="45"/>
      <c r="E38" s="45"/>
      <c r="F38" s="46" t="s">
        <v>39</v>
      </c>
      <c r="G38" s="45"/>
      <c r="H38" s="14">
        <f t="shared" ref="H38:H39" si="9">IF(C38="X",1)+IF(D38="X",2)+IF(E38="X",3)+IF(F38="X",4)+IF(G38="X",5)</f>
        <v>4</v>
      </c>
    </row>
    <row r="39" spans="1:25" ht="21.6" thickBot="1" x14ac:dyDescent="0.35">
      <c r="A39" s="16" t="s">
        <v>169</v>
      </c>
      <c r="B39" s="25" t="s">
        <v>170</v>
      </c>
      <c r="C39" s="45"/>
      <c r="D39" s="46" t="s">
        <v>39</v>
      </c>
      <c r="E39" s="45"/>
      <c r="F39" s="45"/>
      <c r="G39" s="45"/>
      <c r="H39" s="14">
        <f t="shared" si="9"/>
        <v>2</v>
      </c>
    </row>
    <row r="40" spans="1:25" ht="21.6" thickBot="1" x14ac:dyDescent="0.35">
      <c r="A40" s="19"/>
      <c r="B40" s="16" t="s">
        <v>57</v>
      </c>
      <c r="C40" s="45"/>
      <c r="D40" s="45"/>
      <c r="E40" s="45"/>
      <c r="F40" s="45"/>
      <c r="G40" s="45"/>
    </row>
    <row r="41" spans="1:25" ht="21.6" thickBot="1" x14ac:dyDescent="0.35">
      <c r="A41" s="16" t="s">
        <v>171</v>
      </c>
      <c r="B41" s="25" t="s">
        <v>172</v>
      </c>
      <c r="C41" s="45"/>
      <c r="D41" s="45"/>
      <c r="E41" s="45"/>
      <c r="F41" s="46" t="s">
        <v>39</v>
      </c>
      <c r="G41" s="45"/>
      <c r="H41" s="14">
        <f t="shared" ref="H41:H42" si="10">IF(C41="X",1)+IF(D41="X",2)+IF(E41="X",3)+IF(F41="X",4)+IF(G41="X",5)</f>
        <v>4</v>
      </c>
    </row>
    <row r="42" spans="1:25" ht="21.6" thickBot="1" x14ac:dyDescent="0.35">
      <c r="A42" s="16" t="s">
        <v>173</v>
      </c>
      <c r="B42" s="25" t="s">
        <v>174</v>
      </c>
      <c r="C42" s="45"/>
      <c r="D42" s="45"/>
      <c r="E42" s="45"/>
      <c r="F42" s="45"/>
      <c r="G42" s="46" t="s">
        <v>39</v>
      </c>
      <c r="H42" s="14">
        <f t="shared" si="10"/>
        <v>5</v>
      </c>
    </row>
    <row r="43" spans="1:25" ht="16.2" thickBot="1" x14ac:dyDescent="0.35">
      <c r="A43" s="23"/>
      <c r="B43" s="22"/>
      <c r="C43" s="47"/>
      <c r="D43" s="47"/>
      <c r="E43" s="47"/>
      <c r="F43" s="47"/>
      <c r="G43" s="47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21.6" thickBot="1" x14ac:dyDescent="0.35">
      <c r="A44" s="19"/>
      <c r="B44" s="16" t="s">
        <v>30</v>
      </c>
      <c r="C44" s="48"/>
      <c r="D44" s="45"/>
      <c r="E44" s="45"/>
      <c r="F44" s="45"/>
      <c r="G44" s="45"/>
    </row>
    <row r="45" spans="1:25" ht="21.6" thickBot="1" x14ac:dyDescent="0.35">
      <c r="A45" s="16" t="s">
        <v>133</v>
      </c>
      <c r="B45" s="25" t="s">
        <v>134</v>
      </c>
      <c r="C45" s="45"/>
      <c r="D45" s="45"/>
      <c r="E45" s="45"/>
      <c r="F45" s="45"/>
      <c r="G45" s="46" t="s">
        <v>39</v>
      </c>
      <c r="H45" s="14">
        <f>IF(C45="X",1)+IF(D45="X",2)+IF(E45="X",3)+IF(F45="X",4)+IF(G45="X",5)</f>
        <v>5</v>
      </c>
    </row>
    <row r="46" spans="1:25" ht="21.6" thickBot="1" x14ac:dyDescent="0.35">
      <c r="A46" s="19"/>
      <c r="B46" s="16" t="s">
        <v>44</v>
      </c>
      <c r="C46" s="45"/>
      <c r="D46" s="45"/>
      <c r="E46" s="45"/>
      <c r="F46" s="45"/>
      <c r="G46" s="45"/>
    </row>
    <row r="47" spans="1:25" ht="21.6" thickBot="1" x14ac:dyDescent="0.35">
      <c r="A47" s="16" t="s">
        <v>135</v>
      </c>
      <c r="B47" s="25" t="s">
        <v>136</v>
      </c>
      <c r="C47" s="45"/>
      <c r="D47" s="45"/>
      <c r="E47" s="45"/>
      <c r="F47" s="45"/>
      <c r="G47" s="46" t="s">
        <v>39</v>
      </c>
      <c r="H47" s="14">
        <f>IF(C47="X",1)+IF(D47="X",2)+IF(E47="X",3)+IF(F47="X",4)+IF(G47="X",5)</f>
        <v>5</v>
      </c>
    </row>
    <row r="48" spans="1:25" ht="21.6" thickBot="1" x14ac:dyDescent="0.35">
      <c r="A48" s="19"/>
      <c r="B48" s="16" t="s">
        <v>76</v>
      </c>
      <c r="C48" s="45"/>
      <c r="D48" s="45"/>
      <c r="E48" s="45"/>
      <c r="F48" s="45"/>
      <c r="G48" s="45"/>
    </row>
    <row r="49" spans="1:8" ht="21.6" thickBot="1" x14ac:dyDescent="0.35">
      <c r="A49" s="16" t="s">
        <v>137</v>
      </c>
      <c r="B49" s="25" t="s">
        <v>138</v>
      </c>
      <c r="C49" s="45"/>
      <c r="D49" s="45"/>
      <c r="E49" s="45"/>
      <c r="F49" s="46" t="s">
        <v>39</v>
      </c>
      <c r="G49" s="45"/>
      <c r="H49" s="14">
        <f t="shared" ref="H49:H50" si="11">IF(C49="X",1)+IF(D49="X",2)+IF(E49="X",3)+IF(F49="X",4)+IF(G49="X",5)</f>
        <v>4</v>
      </c>
    </row>
    <row r="50" spans="1:8" ht="21.6" thickBot="1" x14ac:dyDescent="0.35">
      <c r="A50" s="16" t="s">
        <v>139</v>
      </c>
      <c r="B50" s="25" t="s">
        <v>140</v>
      </c>
      <c r="C50" s="45"/>
      <c r="D50" s="45"/>
      <c r="E50" s="46" t="s">
        <v>39</v>
      </c>
      <c r="F50" s="45"/>
      <c r="G50" s="45"/>
      <c r="H50" s="14">
        <f t="shared" si="11"/>
        <v>3</v>
      </c>
    </row>
    <row r="51" spans="1:8" ht="21.6" thickBot="1" x14ac:dyDescent="0.35">
      <c r="A51" s="19"/>
      <c r="B51" s="16" t="s">
        <v>57</v>
      </c>
      <c r="C51" s="45"/>
      <c r="D51" s="45"/>
      <c r="E51" s="45"/>
      <c r="F51" s="45"/>
      <c r="G51" s="45"/>
    </row>
    <row r="52" spans="1:8" ht="21.6" thickBot="1" x14ac:dyDescent="0.35">
      <c r="A52" s="16" t="s">
        <v>141</v>
      </c>
      <c r="B52" s="25" t="s">
        <v>142</v>
      </c>
      <c r="C52" s="45"/>
      <c r="D52" s="45"/>
      <c r="E52" s="45"/>
      <c r="F52" s="46" t="s">
        <v>39</v>
      </c>
      <c r="G52" s="45"/>
      <c r="H52" s="14">
        <f t="shared" ref="H52:H53" si="12">IF(C52="X",1)+IF(D52="X",2)+IF(E52="X",3)+IF(F52="X",4)+IF(G52="X",5)</f>
        <v>4</v>
      </c>
    </row>
    <row r="53" spans="1:8" ht="21.6" thickBot="1" x14ac:dyDescent="0.35">
      <c r="A53" s="16" t="s">
        <v>143</v>
      </c>
      <c r="B53" s="25" t="s">
        <v>144</v>
      </c>
      <c r="C53" s="45"/>
      <c r="D53" s="45"/>
      <c r="E53" s="45"/>
      <c r="F53" s="46" t="s">
        <v>39</v>
      </c>
      <c r="G53" s="45"/>
      <c r="H53" s="14">
        <f t="shared" si="12"/>
        <v>4</v>
      </c>
    </row>
    <row r="54" spans="1:8" ht="15.6" x14ac:dyDescent="0.3"/>
  </sheetData>
  <conditionalFormatting sqref="A28:A30 A40:A42 A51:A53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86"/>
  <sheetViews>
    <sheetView zoomScale="58" workbookViewId="0">
      <selection activeCell="A6" sqref="A6"/>
    </sheetView>
  </sheetViews>
  <sheetFormatPr defaultColWidth="11.19921875" defaultRowHeight="15" customHeight="1" x14ac:dyDescent="0.3"/>
  <cols>
    <col min="1" max="1" width="18.69921875" customWidth="1"/>
    <col min="2" max="2" width="162.8984375" bestFit="1" customWidth="1"/>
    <col min="3" max="3" width="8.69921875" customWidth="1"/>
    <col min="4" max="4" width="12.59765625" customWidth="1"/>
    <col min="5" max="5" width="8.69921875" customWidth="1"/>
    <col min="6" max="6" width="16.5" customWidth="1"/>
    <col min="7" max="7" width="12.5" customWidth="1"/>
    <col min="8" max="8" width="9.59765625" customWidth="1"/>
    <col min="9" max="25" width="8.69921875" customWidth="1"/>
  </cols>
  <sheetData>
    <row r="1" spans="1:25" ht="21.6" customHeight="1" x14ac:dyDescent="0.3">
      <c r="B1" s="16" t="s">
        <v>30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7" t="s">
        <v>36</v>
      </c>
    </row>
    <row r="2" spans="1:25" ht="21.6" customHeight="1" x14ac:dyDescent="0.3">
      <c r="A2" s="16" t="s">
        <v>37</v>
      </c>
      <c r="B2" s="18" t="s">
        <v>38</v>
      </c>
      <c r="C2" s="49"/>
      <c r="D2" s="50" t="s">
        <v>39</v>
      </c>
      <c r="E2" s="49"/>
      <c r="F2" s="49"/>
      <c r="G2" s="49"/>
      <c r="H2" s="14">
        <f t="shared" ref="H2:H3" si="0">IF(C2="X",1)+IF(D2="X",2)+IF(E2="X",3)+IF(F2="X",4)+IF(G2="X",5)</f>
        <v>2</v>
      </c>
    </row>
    <row r="3" spans="1:25" ht="21.6" customHeight="1" x14ac:dyDescent="0.3">
      <c r="A3" s="16" t="s">
        <v>40</v>
      </c>
      <c r="B3" s="14" t="s">
        <v>41</v>
      </c>
      <c r="C3" s="50"/>
      <c r="D3" s="49"/>
      <c r="E3" s="50" t="s">
        <v>39</v>
      </c>
      <c r="F3" s="49"/>
      <c r="G3" s="50"/>
      <c r="H3" s="14">
        <f t="shared" si="0"/>
        <v>3</v>
      </c>
    </row>
    <row r="4" spans="1:25" ht="21.6" customHeight="1" x14ac:dyDescent="0.3">
      <c r="A4" s="16" t="s">
        <v>42</v>
      </c>
      <c r="B4" s="14" t="s">
        <v>43</v>
      </c>
      <c r="C4" s="49"/>
      <c r="D4" s="49"/>
      <c r="E4" s="49"/>
      <c r="F4" s="50"/>
      <c r="G4" s="49" t="s">
        <v>39</v>
      </c>
      <c r="H4" s="14">
        <v>5</v>
      </c>
    </row>
    <row r="5" spans="1:25" ht="21.6" customHeight="1" x14ac:dyDescent="0.3">
      <c r="A5" s="19"/>
      <c r="B5" s="16" t="s">
        <v>44</v>
      </c>
      <c r="C5" s="49"/>
      <c r="D5" s="49"/>
      <c r="E5" s="49"/>
      <c r="F5" s="49"/>
      <c r="G5" s="49"/>
    </row>
    <row r="6" spans="1:25" ht="21.6" customHeight="1" x14ac:dyDescent="0.3">
      <c r="A6" s="16" t="s">
        <v>45</v>
      </c>
      <c r="B6" s="18" t="s">
        <v>46</v>
      </c>
      <c r="C6" s="49" t="s">
        <v>39</v>
      </c>
      <c r="D6" s="50"/>
      <c r="E6" s="49"/>
      <c r="F6" s="49"/>
      <c r="G6" s="49"/>
      <c r="H6" s="14">
        <f t="shared" ref="H6:H7" si="1">IF(C6="X",1)+IF(D6="X",2)+IF(E6="X",3)+IF(F6="X",4)+IF(G6="X",5)</f>
        <v>1</v>
      </c>
    </row>
    <row r="7" spans="1:25" ht="21.6" customHeight="1" x14ac:dyDescent="0.3">
      <c r="A7" s="16" t="s">
        <v>47</v>
      </c>
      <c r="B7" s="14" t="s">
        <v>48</v>
      </c>
      <c r="C7" s="50" t="s">
        <v>39</v>
      </c>
      <c r="D7" s="49"/>
      <c r="E7" s="49"/>
      <c r="F7" s="49"/>
      <c r="G7" s="49"/>
      <c r="H7" s="14">
        <f t="shared" si="1"/>
        <v>1</v>
      </c>
    </row>
    <row r="8" spans="1:25" ht="21.6" customHeight="1" x14ac:dyDescent="0.3">
      <c r="A8" s="20"/>
      <c r="B8" s="21"/>
      <c r="C8" s="51"/>
      <c r="D8" s="51"/>
      <c r="E8" s="51"/>
      <c r="F8" s="51"/>
      <c r="G8" s="5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21.6" customHeight="1" x14ac:dyDescent="0.3">
      <c r="A9" s="19"/>
      <c r="B9" s="16" t="s">
        <v>30</v>
      </c>
      <c r="C9" s="49"/>
      <c r="D9" s="49"/>
      <c r="E9" s="50"/>
      <c r="F9" s="49"/>
      <c r="G9" s="49"/>
    </row>
    <row r="10" spans="1:25" ht="21.6" customHeight="1" x14ac:dyDescent="0.3">
      <c r="A10" s="16" t="s">
        <v>49</v>
      </c>
      <c r="B10" s="14" t="s">
        <v>50</v>
      </c>
      <c r="C10" s="50" t="s">
        <v>39</v>
      </c>
      <c r="D10" s="49"/>
      <c r="E10" s="49"/>
      <c r="F10" s="49"/>
      <c r="G10" s="49"/>
      <c r="H10" s="14">
        <f t="shared" ref="H10:H12" si="2">IF(C10="X",1)+IF(D10="X",2)+IF(E10="X",3)+IF(F10="X",4)+IF(G10="X",5)</f>
        <v>1</v>
      </c>
    </row>
    <row r="11" spans="1:25" ht="21.6" customHeight="1" x14ac:dyDescent="0.3">
      <c r="A11" s="16" t="s">
        <v>51</v>
      </c>
      <c r="B11" s="14" t="s">
        <v>52</v>
      </c>
      <c r="C11" s="50"/>
      <c r="D11" s="49"/>
      <c r="E11" s="49" t="s">
        <v>39</v>
      </c>
      <c r="F11" s="49"/>
      <c r="G11" s="49"/>
      <c r="H11" s="14">
        <f t="shared" si="2"/>
        <v>3</v>
      </c>
    </row>
    <row r="12" spans="1:25" ht="21.6" customHeight="1" x14ac:dyDescent="0.3">
      <c r="A12" s="16" t="s">
        <v>53</v>
      </c>
      <c r="B12" s="14" t="s">
        <v>54</v>
      </c>
      <c r="C12" s="49"/>
      <c r="D12" s="50" t="s">
        <v>39</v>
      </c>
      <c r="E12" s="49"/>
      <c r="F12" s="49"/>
      <c r="G12" s="49"/>
      <c r="H12" s="14">
        <f t="shared" si="2"/>
        <v>2</v>
      </c>
    </row>
    <row r="13" spans="1:25" ht="21.6" customHeight="1" x14ac:dyDescent="0.3">
      <c r="A13" s="19"/>
      <c r="B13" s="16" t="s">
        <v>44</v>
      </c>
      <c r="C13" s="49"/>
      <c r="D13" s="49"/>
      <c r="E13" s="49"/>
      <c r="F13" s="49"/>
      <c r="G13" s="50"/>
    </row>
    <row r="14" spans="1:25" ht="21.6" customHeight="1" x14ac:dyDescent="0.3">
      <c r="A14" s="16" t="s">
        <v>55</v>
      </c>
      <c r="B14" s="14" t="s">
        <v>56</v>
      </c>
      <c r="C14" s="50"/>
      <c r="D14" s="49" t="s">
        <v>39</v>
      </c>
      <c r="E14" s="49"/>
      <c r="F14" s="49"/>
      <c r="G14" s="49"/>
      <c r="H14" s="14">
        <f>IF(C14="X",1)+IF(D14="X",2)+IF(E14="X",3)+IF(F14="X",4)+IF(G14="X",5)</f>
        <v>2</v>
      </c>
    </row>
    <row r="15" spans="1:25" ht="21.6" customHeight="1" x14ac:dyDescent="0.3">
      <c r="A15" s="19"/>
      <c r="B15" s="16" t="s">
        <v>57</v>
      </c>
      <c r="C15" s="49"/>
      <c r="D15" s="49"/>
      <c r="E15" s="49"/>
      <c r="F15" s="49"/>
      <c r="G15" s="49"/>
    </row>
    <row r="16" spans="1:25" ht="21.6" customHeight="1" x14ac:dyDescent="0.3">
      <c r="A16" s="16" t="s">
        <v>58</v>
      </c>
      <c r="B16" s="14" t="s">
        <v>59</v>
      </c>
      <c r="C16" s="49"/>
      <c r="D16" s="49"/>
      <c r="E16" s="49"/>
      <c r="F16" s="49"/>
      <c r="G16" s="50" t="s">
        <v>39</v>
      </c>
      <c r="H16" s="14">
        <f t="shared" ref="H16:H17" si="3">IF(C16="X",1)+IF(D16="X",2)+IF(E16="X",3)+IF(F16="X",4)+IF(G16="X",5)</f>
        <v>5</v>
      </c>
    </row>
    <row r="17" spans="1:25" ht="21.6" customHeight="1" x14ac:dyDescent="0.3">
      <c r="A17" s="16" t="s">
        <v>60</v>
      </c>
      <c r="B17" s="14" t="s">
        <v>61</v>
      </c>
      <c r="C17" s="49"/>
      <c r="D17" s="49"/>
      <c r="E17" s="49"/>
      <c r="F17" s="50"/>
      <c r="G17" s="49" t="s">
        <v>39</v>
      </c>
      <c r="H17" s="14">
        <f t="shared" si="3"/>
        <v>5</v>
      </c>
    </row>
    <row r="18" spans="1:25" ht="21.6" customHeight="1" x14ac:dyDescent="0.3">
      <c r="A18" s="23"/>
      <c r="B18" s="22"/>
      <c r="C18" s="51"/>
      <c r="D18" s="51"/>
      <c r="E18" s="51"/>
      <c r="F18" s="51"/>
      <c r="G18" s="5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21.6" customHeight="1" x14ac:dyDescent="0.3">
      <c r="A19" s="19"/>
      <c r="B19" s="16" t="s">
        <v>30</v>
      </c>
      <c r="C19" s="49"/>
      <c r="D19" s="49"/>
      <c r="E19" s="49"/>
      <c r="F19" s="49"/>
      <c r="G19" s="49"/>
    </row>
    <row r="20" spans="1:25" ht="21.6" customHeight="1" x14ac:dyDescent="0.3">
      <c r="A20" s="16" t="s">
        <v>62</v>
      </c>
      <c r="B20" s="14" t="s">
        <v>63</v>
      </c>
      <c r="C20" s="49"/>
      <c r="D20" s="49"/>
      <c r="E20" s="49" t="s">
        <v>39</v>
      </c>
      <c r="F20" s="50"/>
      <c r="G20" s="49"/>
      <c r="H20" s="14">
        <f t="shared" ref="H20:H21" si="4">IF(C20="X",1)+IF(D20="X",2)+IF(E20="X",3)+IF(F20="X",4)+IF(G20="X",5)</f>
        <v>3</v>
      </c>
    </row>
    <row r="21" spans="1:25" ht="21.6" customHeight="1" x14ac:dyDescent="0.3">
      <c r="A21" s="16" t="s">
        <v>64</v>
      </c>
      <c r="B21" s="14" t="s">
        <v>65</v>
      </c>
      <c r="C21" s="49"/>
      <c r="D21" s="50" t="s">
        <v>39</v>
      </c>
      <c r="E21" s="49"/>
      <c r="F21" s="49"/>
      <c r="G21" s="49"/>
      <c r="H21" s="14">
        <f t="shared" si="4"/>
        <v>2</v>
      </c>
    </row>
    <row r="22" spans="1:25" ht="21.6" customHeight="1" x14ac:dyDescent="0.3">
      <c r="A22" s="19"/>
      <c r="B22" s="16" t="s">
        <v>44</v>
      </c>
      <c r="C22" s="49"/>
      <c r="D22" s="49"/>
      <c r="E22" s="49"/>
      <c r="F22" s="49"/>
      <c r="G22" s="49"/>
    </row>
    <row r="23" spans="1:25" ht="21.6" customHeight="1" x14ac:dyDescent="0.3">
      <c r="A23" s="16" t="s">
        <v>66</v>
      </c>
      <c r="B23" s="18" t="s">
        <v>67</v>
      </c>
      <c r="C23" s="49" t="s">
        <v>39</v>
      </c>
      <c r="D23" s="50"/>
      <c r="E23" s="49"/>
      <c r="F23" s="49"/>
      <c r="G23" s="49"/>
      <c r="H23" s="14">
        <f t="shared" ref="H23:H24" si="5">IF(C23="X",1)+IF(D23="X",2)+IF(E23="X",3)+IF(F23="X",4)+IF(G23="X",5)</f>
        <v>1</v>
      </c>
    </row>
    <row r="24" spans="1:25" ht="21.6" customHeight="1" x14ac:dyDescent="0.3">
      <c r="A24" s="16" t="s">
        <v>68</v>
      </c>
      <c r="B24" s="14" t="s">
        <v>69</v>
      </c>
      <c r="C24" s="49"/>
      <c r="D24" s="50"/>
      <c r="E24" s="49"/>
      <c r="F24" s="49" t="s">
        <v>39</v>
      </c>
      <c r="G24" s="49"/>
      <c r="H24" s="14">
        <f t="shared" si="5"/>
        <v>4</v>
      </c>
    </row>
    <row r="25" spans="1:25" ht="21.6" customHeight="1" x14ac:dyDescent="0.3">
      <c r="A25" s="19"/>
      <c r="B25" s="16" t="s">
        <v>57</v>
      </c>
      <c r="C25" s="49"/>
      <c r="D25" s="49"/>
      <c r="E25" s="49"/>
      <c r="F25" s="49"/>
      <c r="G25" s="49"/>
    </row>
    <row r="26" spans="1:25" ht="21.6" customHeight="1" x14ac:dyDescent="0.3">
      <c r="A26" s="16" t="s">
        <v>70</v>
      </c>
      <c r="B26" s="14" t="s">
        <v>71</v>
      </c>
      <c r="C26" s="49"/>
      <c r="D26" s="49"/>
      <c r="E26" s="49"/>
      <c r="F26" s="49"/>
      <c r="G26" s="50" t="s">
        <v>39</v>
      </c>
      <c r="H26" s="14">
        <f t="shared" ref="H26:H27" si="6">IF(C26="X",1)+IF(D26="X",2)+IF(E26="X",3)+IF(F26="X",4)+IF(G26="X",5)</f>
        <v>5</v>
      </c>
    </row>
    <row r="27" spans="1:25" ht="21.6" customHeight="1" x14ac:dyDescent="0.3">
      <c r="A27" s="16" t="s">
        <v>72</v>
      </c>
      <c r="B27" s="14" t="s">
        <v>73</v>
      </c>
      <c r="C27" s="49"/>
      <c r="D27" s="49"/>
      <c r="E27" s="49"/>
      <c r="F27" s="50" t="s">
        <v>39</v>
      </c>
      <c r="G27" s="49"/>
      <c r="H27" s="14">
        <f t="shared" si="6"/>
        <v>4</v>
      </c>
    </row>
    <row r="28" spans="1:25" ht="21.6" customHeight="1" x14ac:dyDescent="0.3">
      <c r="A28" s="23"/>
      <c r="B28" s="22"/>
      <c r="C28" s="51"/>
      <c r="D28" s="51"/>
      <c r="E28" s="51"/>
      <c r="F28" s="51"/>
      <c r="G28" s="51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1.6" customHeight="1" x14ac:dyDescent="0.3">
      <c r="A29" s="19"/>
      <c r="B29" s="16" t="s">
        <v>44</v>
      </c>
      <c r="C29" s="49"/>
      <c r="D29" s="49"/>
      <c r="E29" s="49"/>
      <c r="F29" s="49"/>
      <c r="G29" s="49"/>
    </row>
    <row r="30" spans="1:25" ht="21.6" customHeight="1" x14ac:dyDescent="0.3">
      <c r="A30" s="16" t="s">
        <v>74</v>
      </c>
      <c r="B30" s="14" t="s">
        <v>75</v>
      </c>
      <c r="C30" s="49"/>
      <c r="D30" s="49"/>
      <c r="E30" s="50" t="s">
        <v>39</v>
      </c>
      <c r="F30" s="49"/>
      <c r="G30" s="49"/>
      <c r="H30" s="14">
        <f>IF(C30="X",1)+IF(D30="X",2)+IF(E30="X",3)+IF(F30="X",4)+IF(G30="X",5)</f>
        <v>3</v>
      </c>
    </row>
    <row r="31" spans="1:25" ht="21.6" customHeight="1" x14ac:dyDescent="0.3">
      <c r="A31" s="19"/>
      <c r="B31" s="16" t="s">
        <v>76</v>
      </c>
      <c r="C31" s="49"/>
      <c r="D31" s="49"/>
      <c r="E31" s="49"/>
      <c r="F31" s="49"/>
      <c r="G31" s="49"/>
    </row>
    <row r="32" spans="1:25" ht="21.6" customHeight="1" x14ac:dyDescent="0.3">
      <c r="A32" s="16" t="s">
        <v>77</v>
      </c>
      <c r="B32" s="14" t="s">
        <v>78</v>
      </c>
      <c r="C32" s="49"/>
      <c r="D32" s="49"/>
      <c r="E32" s="50" t="s">
        <v>39</v>
      </c>
      <c r="F32" s="49"/>
      <c r="G32" s="49"/>
      <c r="H32" s="14">
        <f t="shared" ref="H32:H34" si="7">IF(C32="X",1)+IF(D32="X",2)+IF(E32="X",3)+IF(F32="X",4)+IF(G32="X",5)</f>
        <v>3</v>
      </c>
    </row>
    <row r="33" spans="1:25" ht="21.6" customHeight="1" x14ac:dyDescent="0.3">
      <c r="A33" s="16" t="s">
        <v>79</v>
      </c>
      <c r="B33" s="24" t="s">
        <v>80</v>
      </c>
      <c r="C33" s="49"/>
      <c r="D33" s="50"/>
      <c r="E33" s="49"/>
      <c r="F33" s="49" t="s">
        <v>39</v>
      </c>
      <c r="G33" s="49"/>
      <c r="H33" s="14">
        <f t="shared" si="7"/>
        <v>4</v>
      </c>
    </row>
    <row r="34" spans="1:25" ht="21.6" customHeight="1" x14ac:dyDescent="0.3">
      <c r="A34" s="16" t="s">
        <v>81</v>
      </c>
      <c r="B34" s="24" t="s">
        <v>82</v>
      </c>
      <c r="C34" s="49"/>
      <c r="D34" s="50" t="s">
        <v>39</v>
      </c>
      <c r="E34" s="49"/>
      <c r="F34" s="49"/>
      <c r="G34" s="49"/>
      <c r="H34" s="14">
        <f t="shared" si="7"/>
        <v>2</v>
      </c>
    </row>
    <row r="35" spans="1:25" ht="21.6" customHeight="1" x14ac:dyDescent="0.3">
      <c r="A35" s="19"/>
      <c r="B35" s="16" t="s">
        <v>57</v>
      </c>
      <c r="C35" s="49"/>
      <c r="D35" s="49"/>
      <c r="E35" s="49"/>
      <c r="F35" s="49"/>
      <c r="G35" s="49"/>
    </row>
    <row r="36" spans="1:25" ht="21.6" customHeight="1" x14ac:dyDescent="0.3">
      <c r="A36" s="16" t="s">
        <v>83</v>
      </c>
      <c r="B36" s="14" t="s">
        <v>84</v>
      </c>
      <c r="C36" s="49"/>
      <c r="D36" s="49"/>
      <c r="E36" s="50"/>
      <c r="F36" s="49"/>
      <c r="G36" s="49" t="s">
        <v>39</v>
      </c>
      <c r="H36" s="14">
        <f t="shared" ref="H36:H38" si="8">IF(C36="X",1)+IF(D36="X",2)+IF(E36="X",3)+IF(F36="X",4)+IF(G36="X",5)</f>
        <v>5</v>
      </c>
    </row>
    <row r="37" spans="1:25" ht="21.6" customHeight="1" x14ac:dyDescent="0.3">
      <c r="A37" s="16" t="s">
        <v>85</v>
      </c>
      <c r="B37" s="14" t="s">
        <v>86</v>
      </c>
      <c r="C37" s="49"/>
      <c r="D37" s="49"/>
      <c r="E37" s="49"/>
      <c r="F37" s="49"/>
      <c r="G37" s="50" t="s">
        <v>39</v>
      </c>
      <c r="H37" s="14">
        <f t="shared" si="8"/>
        <v>5</v>
      </c>
    </row>
    <row r="38" spans="1:25" ht="21.6" customHeight="1" x14ac:dyDescent="0.3">
      <c r="A38" s="16" t="s">
        <v>87</v>
      </c>
      <c r="B38" s="14" t="s">
        <v>88</v>
      </c>
      <c r="C38" s="49"/>
      <c r="D38" s="49"/>
      <c r="E38" s="49"/>
      <c r="F38" s="50" t="s">
        <v>39</v>
      </c>
      <c r="G38" s="49"/>
      <c r="H38" s="14">
        <f t="shared" si="8"/>
        <v>4</v>
      </c>
    </row>
    <row r="39" spans="1:25" ht="21.6" customHeight="1" x14ac:dyDescent="0.3">
      <c r="A39" s="23"/>
      <c r="B39" s="22"/>
      <c r="C39" s="51"/>
      <c r="D39" s="51"/>
      <c r="E39" s="51"/>
      <c r="F39" s="51"/>
      <c r="G39" s="5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21.6" customHeight="1" x14ac:dyDescent="0.3">
      <c r="A40" s="19"/>
      <c r="B40" s="16" t="s">
        <v>44</v>
      </c>
      <c r="C40" s="49"/>
      <c r="D40" s="49"/>
      <c r="E40" s="49"/>
      <c r="F40" s="49"/>
      <c r="G40" s="49"/>
    </row>
    <row r="41" spans="1:25" ht="21.6" customHeight="1" x14ac:dyDescent="0.3">
      <c r="A41" s="16" t="s">
        <v>89</v>
      </c>
      <c r="B41" s="14" t="s">
        <v>90</v>
      </c>
      <c r="C41" s="49"/>
      <c r="D41" s="49"/>
      <c r="E41" s="50"/>
      <c r="F41" s="49" t="s">
        <v>39</v>
      </c>
      <c r="G41" s="49"/>
      <c r="H41" s="14">
        <f t="shared" ref="H41:H42" si="9">IF(C41="X",1)+IF(D41="X",2)+IF(E41="X",3)+IF(F41="X",4)+IF(G41="X",5)</f>
        <v>4</v>
      </c>
    </row>
    <row r="42" spans="1:25" ht="21.6" customHeight="1" x14ac:dyDescent="0.3">
      <c r="A42" s="16" t="s">
        <v>91</v>
      </c>
      <c r="B42" s="14" t="s">
        <v>92</v>
      </c>
      <c r="C42" s="49"/>
      <c r="D42" s="50"/>
      <c r="E42" s="49"/>
      <c r="F42" s="49" t="s">
        <v>39</v>
      </c>
      <c r="G42" s="49"/>
      <c r="H42" s="14">
        <f t="shared" si="9"/>
        <v>4</v>
      </c>
    </row>
    <row r="43" spans="1:25" ht="21.6" customHeight="1" x14ac:dyDescent="0.3">
      <c r="A43" s="19"/>
      <c r="B43" s="16" t="s">
        <v>76</v>
      </c>
      <c r="C43" s="49"/>
      <c r="D43" s="49"/>
      <c r="E43" s="49"/>
      <c r="F43" s="49"/>
      <c r="G43" s="49"/>
    </row>
    <row r="44" spans="1:25" ht="21.6" customHeight="1" x14ac:dyDescent="0.3">
      <c r="A44" s="16" t="s">
        <v>93</v>
      </c>
      <c r="B44" s="14" t="s">
        <v>94</v>
      </c>
      <c r="C44" s="49"/>
      <c r="D44" s="49"/>
      <c r="E44" s="50" t="s">
        <v>39</v>
      </c>
      <c r="F44" s="49"/>
      <c r="G44" s="49"/>
      <c r="H44" s="14">
        <f t="shared" ref="H44:H45" si="10">IF(C44="X",1)+IF(D44="X",2)+IF(E44="X",3)+IF(F44="X",4)+IF(G44="X",5)</f>
        <v>3</v>
      </c>
    </row>
    <row r="45" spans="1:25" ht="21.6" customHeight="1" x14ac:dyDescent="0.3">
      <c r="A45" s="16" t="s">
        <v>95</v>
      </c>
      <c r="B45" s="14" t="s">
        <v>96</v>
      </c>
      <c r="C45" s="49"/>
      <c r="D45" s="50" t="s">
        <v>39</v>
      </c>
      <c r="E45" s="49"/>
      <c r="F45" s="49"/>
      <c r="G45" s="49"/>
      <c r="H45" s="14">
        <f t="shared" si="10"/>
        <v>2</v>
      </c>
    </row>
    <row r="46" spans="1:25" ht="21.6" customHeight="1" x14ac:dyDescent="0.3">
      <c r="A46" s="23"/>
      <c r="B46" s="22"/>
      <c r="C46" s="51"/>
      <c r="D46" s="51"/>
      <c r="E46" s="51"/>
      <c r="F46" s="51"/>
      <c r="G46" s="5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21.6" customHeight="1" x14ac:dyDescent="0.3">
      <c r="A47" s="19"/>
      <c r="B47" s="16" t="s">
        <v>30</v>
      </c>
      <c r="C47" s="49"/>
      <c r="D47" s="49"/>
      <c r="E47" s="49"/>
      <c r="F47" s="49"/>
      <c r="G47" s="49"/>
    </row>
    <row r="48" spans="1:25" ht="21.6" customHeight="1" x14ac:dyDescent="0.3">
      <c r="A48" s="16" t="s">
        <v>97</v>
      </c>
      <c r="B48" s="14" t="s">
        <v>145</v>
      </c>
      <c r="C48" s="49"/>
      <c r="D48" s="50"/>
      <c r="E48" s="49" t="s">
        <v>39</v>
      </c>
      <c r="F48" s="49"/>
      <c r="G48" s="49"/>
      <c r="H48" s="14">
        <f t="shared" ref="H48:H50" si="11">IF(C48="X",1)+IF(D48="X",2)+IF(E48="X",3)+IF(F48="X",4)+IF(G48="X",5)</f>
        <v>3</v>
      </c>
    </row>
    <row r="49" spans="1:25" ht="21.6" customHeight="1" x14ac:dyDescent="0.3">
      <c r="A49" s="16" t="s">
        <v>99</v>
      </c>
      <c r="B49" s="14" t="s">
        <v>100</v>
      </c>
      <c r="C49" s="50"/>
      <c r="D49" s="49"/>
      <c r="E49" s="49" t="s">
        <v>39</v>
      </c>
      <c r="F49" s="49"/>
      <c r="G49" s="49"/>
      <c r="H49" s="14">
        <f t="shared" si="11"/>
        <v>3</v>
      </c>
    </row>
    <row r="50" spans="1:25" ht="21.6" customHeight="1" x14ac:dyDescent="0.3">
      <c r="A50" s="16" t="s">
        <v>101</v>
      </c>
      <c r="B50" s="14" t="s">
        <v>102</v>
      </c>
      <c r="C50" s="49"/>
      <c r="D50" s="50" t="s">
        <v>39</v>
      </c>
      <c r="E50" s="49"/>
      <c r="F50" s="49"/>
      <c r="G50" s="49"/>
      <c r="H50" s="14">
        <f t="shared" si="11"/>
        <v>2</v>
      </c>
    </row>
    <row r="51" spans="1:25" ht="21.6" customHeight="1" x14ac:dyDescent="0.3">
      <c r="A51" s="19"/>
      <c r="B51" s="16" t="s">
        <v>57</v>
      </c>
      <c r="C51" s="49"/>
      <c r="D51" s="49"/>
      <c r="E51" s="49"/>
      <c r="F51" s="49"/>
      <c r="G51" s="49"/>
    </row>
    <row r="52" spans="1:25" ht="21.6" customHeight="1" x14ac:dyDescent="0.3">
      <c r="A52" s="16" t="s">
        <v>103</v>
      </c>
      <c r="B52" s="14" t="s">
        <v>104</v>
      </c>
      <c r="C52" s="49"/>
      <c r="D52" s="50"/>
      <c r="E52" s="49" t="s">
        <v>39</v>
      </c>
      <c r="F52" s="49"/>
      <c r="G52" s="49"/>
      <c r="H52" s="14">
        <f t="shared" ref="H52:H53" si="12">IF(C52="X",1)+IF(D52="X",2)+IF(E52="X",3)+IF(F52="X",4)+IF(G52="X",5)</f>
        <v>3</v>
      </c>
    </row>
    <row r="53" spans="1:25" ht="21.6" customHeight="1" x14ac:dyDescent="0.3">
      <c r="A53" s="16" t="s">
        <v>105</v>
      </c>
      <c r="B53" s="14" t="s">
        <v>106</v>
      </c>
      <c r="C53" s="50"/>
      <c r="D53" s="49" t="s">
        <v>39</v>
      </c>
      <c r="E53" s="49"/>
      <c r="F53" s="49"/>
      <c r="G53" s="49"/>
      <c r="H53" s="14">
        <f t="shared" si="12"/>
        <v>2</v>
      </c>
    </row>
    <row r="54" spans="1:25" ht="21.6" customHeight="1" x14ac:dyDescent="0.3">
      <c r="A54" s="23"/>
      <c r="B54" s="22"/>
      <c r="C54" s="51"/>
      <c r="D54" s="51"/>
      <c r="E54" s="51"/>
      <c r="F54" s="51"/>
      <c r="G54" s="5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21.6" customHeight="1" x14ac:dyDescent="0.3">
      <c r="A55" s="19"/>
      <c r="B55" s="16" t="s">
        <v>44</v>
      </c>
      <c r="C55" s="49"/>
      <c r="D55" s="49"/>
      <c r="E55" s="49"/>
      <c r="F55" s="49"/>
      <c r="G55" s="49"/>
    </row>
    <row r="56" spans="1:25" ht="21.6" customHeight="1" x14ac:dyDescent="0.3">
      <c r="A56" s="16" t="s">
        <v>107</v>
      </c>
      <c r="B56" s="14" t="s">
        <v>108</v>
      </c>
      <c r="C56" s="49"/>
      <c r="D56" s="49"/>
      <c r="E56" s="49"/>
      <c r="F56" s="50" t="s">
        <v>39</v>
      </c>
      <c r="G56" s="49"/>
      <c r="H56" s="14">
        <f>IF(C56="X",1)+IF(D56="X",2)+IF(E56="X",3)+IF(F56="X",4)+IF(G56="X",5)</f>
        <v>4</v>
      </c>
    </row>
    <row r="57" spans="1:25" ht="21.6" customHeight="1" x14ac:dyDescent="0.3">
      <c r="A57" s="19"/>
      <c r="B57" s="16" t="s">
        <v>76</v>
      </c>
      <c r="C57" s="49"/>
      <c r="D57" s="49"/>
      <c r="E57" s="49"/>
      <c r="F57" s="49"/>
      <c r="G57" s="49"/>
    </row>
    <row r="58" spans="1:25" ht="21.6" customHeight="1" x14ac:dyDescent="0.3">
      <c r="A58" s="16" t="s">
        <v>109</v>
      </c>
      <c r="B58" s="14" t="s">
        <v>110</v>
      </c>
      <c r="C58" s="49"/>
      <c r="D58" s="49"/>
      <c r="E58" s="50"/>
      <c r="F58" s="49" t="s">
        <v>39</v>
      </c>
      <c r="G58" s="49"/>
      <c r="H58" s="14">
        <f t="shared" ref="H58:H59" si="13">IF(C58="X",1)+IF(D58="X",2)+IF(E58="X",3)+IF(F58="X",4)+IF(G58="X",5)</f>
        <v>4</v>
      </c>
    </row>
    <row r="59" spans="1:25" ht="21.6" customHeight="1" x14ac:dyDescent="0.3">
      <c r="A59" s="16" t="s">
        <v>111</v>
      </c>
      <c r="B59" s="14" t="s">
        <v>112</v>
      </c>
      <c r="C59" s="49"/>
      <c r="D59" s="49"/>
      <c r="E59" s="50" t="s">
        <v>39</v>
      </c>
      <c r="F59" s="49"/>
      <c r="G59" s="49"/>
      <c r="H59" s="14">
        <f t="shared" si="13"/>
        <v>3</v>
      </c>
    </row>
    <row r="60" spans="1:25" ht="21.6" customHeight="1" x14ac:dyDescent="0.3">
      <c r="A60" s="19"/>
      <c r="B60" s="16" t="s">
        <v>57</v>
      </c>
      <c r="C60" s="49"/>
      <c r="D60" s="49"/>
      <c r="E60" s="49"/>
      <c r="F60" s="49"/>
      <c r="G60" s="49"/>
    </row>
    <row r="61" spans="1:25" ht="21.6" customHeight="1" x14ac:dyDescent="0.3">
      <c r="A61" s="16" t="s">
        <v>113</v>
      </c>
      <c r="B61" s="14" t="s">
        <v>114</v>
      </c>
      <c r="C61" s="49"/>
      <c r="D61" s="49"/>
      <c r="E61" s="49"/>
      <c r="F61" s="50"/>
      <c r="G61" s="49" t="s">
        <v>39</v>
      </c>
      <c r="H61" s="14">
        <f t="shared" ref="H61:H63" si="14">IF(C61="X",1)+IF(D61="X",2)+IF(E61="X",3)+IF(F61="X",4)+IF(G61="X",5)</f>
        <v>5</v>
      </c>
    </row>
    <row r="62" spans="1:25" ht="21.6" customHeight="1" x14ac:dyDescent="0.3">
      <c r="A62" s="16" t="s">
        <v>115</v>
      </c>
      <c r="B62" s="14" t="s">
        <v>116</v>
      </c>
      <c r="C62" s="49"/>
      <c r="D62" s="49"/>
      <c r="E62" s="49"/>
      <c r="F62" s="50"/>
      <c r="G62" s="49" t="s">
        <v>39</v>
      </c>
      <c r="H62" s="14">
        <f t="shared" si="14"/>
        <v>5</v>
      </c>
    </row>
    <row r="63" spans="1:25" ht="21.6" customHeight="1" x14ac:dyDescent="0.3">
      <c r="A63" s="16" t="s">
        <v>117</v>
      </c>
      <c r="B63" s="14" t="s">
        <v>118</v>
      </c>
      <c r="C63" s="49"/>
      <c r="D63" s="49"/>
      <c r="E63" s="49"/>
      <c r="F63" s="49" t="s">
        <v>39</v>
      </c>
      <c r="G63" s="50"/>
      <c r="H63" s="14">
        <f t="shared" si="14"/>
        <v>4</v>
      </c>
    </row>
    <row r="64" spans="1:25" ht="21.6" customHeight="1" x14ac:dyDescent="0.3">
      <c r="A64" s="22"/>
      <c r="B64" s="22"/>
      <c r="C64" s="51"/>
      <c r="D64" s="51"/>
      <c r="E64" s="51"/>
      <c r="F64" s="51"/>
      <c r="G64" s="5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21.6" customHeight="1" x14ac:dyDescent="0.3">
      <c r="A65" s="19"/>
      <c r="B65" s="16" t="s">
        <v>30</v>
      </c>
      <c r="C65" s="49"/>
      <c r="D65" s="49"/>
      <c r="E65" s="49"/>
      <c r="F65" s="49"/>
      <c r="G65" s="49"/>
    </row>
    <row r="66" spans="1:25" ht="21.6" customHeight="1" x14ac:dyDescent="0.3">
      <c r="A66" s="16" t="s">
        <v>119</v>
      </c>
      <c r="B66" s="25" t="s">
        <v>120</v>
      </c>
      <c r="C66" s="49"/>
      <c r="D66" s="50" t="s">
        <v>39</v>
      </c>
      <c r="E66" s="49"/>
      <c r="F66" s="49"/>
      <c r="G66" s="49"/>
      <c r="H66" s="14">
        <f t="shared" ref="H66:H67" si="15">IF(C66="X",1)+IF(D66="X",2)+IF(E66="X",3)+IF(F66="X",4)+IF(G66="X",5)</f>
        <v>2</v>
      </c>
    </row>
    <row r="67" spans="1:25" ht="21.6" customHeight="1" x14ac:dyDescent="0.3">
      <c r="A67" s="16" t="s">
        <v>121</v>
      </c>
      <c r="B67" s="25" t="s">
        <v>122</v>
      </c>
      <c r="C67" s="49"/>
      <c r="D67" s="49"/>
      <c r="E67" s="49" t="s">
        <v>39</v>
      </c>
      <c r="F67" s="50"/>
      <c r="G67" s="49"/>
      <c r="H67" s="14">
        <f t="shared" si="15"/>
        <v>3</v>
      </c>
    </row>
    <row r="68" spans="1:25" ht="21.6" customHeight="1" x14ac:dyDescent="0.3">
      <c r="A68" s="19"/>
      <c r="B68" s="16" t="s">
        <v>44</v>
      </c>
      <c r="C68" s="49"/>
      <c r="D68" s="49"/>
      <c r="E68" s="49"/>
      <c r="F68" s="49"/>
      <c r="G68" s="49"/>
    </row>
    <row r="69" spans="1:25" ht="21.6" customHeight="1" x14ac:dyDescent="0.3">
      <c r="A69" s="16" t="s">
        <v>123</v>
      </c>
      <c r="B69" s="25" t="s">
        <v>124</v>
      </c>
      <c r="C69" s="50"/>
      <c r="D69" s="49" t="s">
        <v>39</v>
      </c>
      <c r="E69" s="49"/>
      <c r="F69" s="49"/>
      <c r="G69" s="49"/>
      <c r="H69" s="14">
        <f>IF(C69="X",1)+IF(D69="X",2)+IF(E69="X",3)+IF(F69="X",4)+IF(G69="X",5)</f>
        <v>2</v>
      </c>
    </row>
    <row r="70" spans="1:25" ht="21.6" customHeight="1" x14ac:dyDescent="0.3">
      <c r="A70" s="19"/>
      <c r="B70" s="16" t="s">
        <v>76</v>
      </c>
      <c r="C70" s="49"/>
      <c r="D70" s="49"/>
      <c r="E70" s="49"/>
      <c r="F70" s="49"/>
      <c r="G70" s="49"/>
    </row>
    <row r="71" spans="1:25" ht="21.6" customHeight="1" x14ac:dyDescent="0.3">
      <c r="A71" s="16" t="s">
        <v>125</v>
      </c>
      <c r="B71" s="25" t="s">
        <v>126</v>
      </c>
      <c r="C71" s="49"/>
      <c r="D71" s="49"/>
      <c r="E71" s="50"/>
      <c r="F71" s="49"/>
      <c r="G71" s="49" t="s">
        <v>39</v>
      </c>
      <c r="H71" s="14">
        <f t="shared" ref="H71:H72" si="16">IF(C71="X",1)+IF(D71="X",2)+IF(E71="X",3)+IF(F71="X",4)+IF(G71="X",5)</f>
        <v>5</v>
      </c>
    </row>
    <row r="72" spans="1:25" ht="21.6" customHeight="1" x14ac:dyDescent="0.3">
      <c r="A72" s="16" t="s">
        <v>127</v>
      </c>
      <c r="B72" s="25" t="s">
        <v>128</v>
      </c>
      <c r="C72" s="49"/>
      <c r="D72" s="49"/>
      <c r="E72" s="49"/>
      <c r="F72" s="50"/>
      <c r="G72" s="49" t="s">
        <v>39</v>
      </c>
      <c r="H72" s="14">
        <f t="shared" si="16"/>
        <v>5</v>
      </c>
    </row>
    <row r="73" spans="1:25" ht="21.6" customHeight="1" x14ac:dyDescent="0.3">
      <c r="A73" s="19"/>
      <c r="B73" s="16" t="s">
        <v>57</v>
      </c>
      <c r="C73" s="49"/>
      <c r="D73" s="49"/>
      <c r="E73" s="49"/>
      <c r="F73" s="49"/>
      <c r="G73" s="49"/>
    </row>
    <row r="74" spans="1:25" ht="21.6" customHeight="1" x14ac:dyDescent="0.3">
      <c r="A74" s="16" t="s">
        <v>129</v>
      </c>
      <c r="B74" s="25" t="s">
        <v>130</v>
      </c>
      <c r="C74" s="49"/>
      <c r="D74" s="49"/>
      <c r="E74" s="49"/>
      <c r="F74" s="50" t="s">
        <v>39</v>
      </c>
      <c r="G74" s="49"/>
      <c r="H74" s="14">
        <f t="shared" ref="H74:H75" si="17">IF(C74="X",1)+IF(D74="X",2)+IF(E74="X",3)+IF(F74="X",4)+IF(G74="X",5)</f>
        <v>4</v>
      </c>
    </row>
    <row r="75" spans="1:25" ht="21.6" customHeight="1" x14ac:dyDescent="0.3">
      <c r="A75" s="16" t="s">
        <v>131</v>
      </c>
      <c r="B75" s="14" t="s">
        <v>132</v>
      </c>
      <c r="C75" s="49"/>
      <c r="D75" s="49"/>
      <c r="E75" s="49"/>
      <c r="F75" s="49"/>
      <c r="G75" s="50" t="s">
        <v>39</v>
      </c>
      <c r="H75" s="14">
        <f t="shared" si="17"/>
        <v>5</v>
      </c>
    </row>
    <row r="76" spans="1:25" ht="21.6" customHeight="1" x14ac:dyDescent="0.3">
      <c r="A76" s="22"/>
      <c r="B76" s="22"/>
      <c r="C76" s="51"/>
      <c r="D76" s="51"/>
      <c r="E76" s="51"/>
      <c r="F76" s="51"/>
      <c r="G76" s="5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21.6" customHeight="1" x14ac:dyDescent="0.3">
      <c r="A77" s="19"/>
      <c r="B77" s="16" t="s">
        <v>30</v>
      </c>
      <c r="C77" s="52"/>
      <c r="D77" s="49"/>
      <c r="E77" s="49"/>
      <c r="F77" s="49"/>
      <c r="G77" s="49"/>
    </row>
    <row r="78" spans="1:25" ht="21.6" customHeight="1" x14ac:dyDescent="0.3">
      <c r="A78" s="16" t="s">
        <v>133</v>
      </c>
      <c r="B78" s="25" t="s">
        <v>134</v>
      </c>
      <c r="C78" s="49"/>
      <c r="D78" s="50" t="s">
        <v>39</v>
      </c>
      <c r="E78" s="49"/>
      <c r="F78" s="49"/>
      <c r="G78" s="49"/>
      <c r="H78" s="14">
        <f>IF(C78="X",1)+IF(D78="X",2)+IF(E78="X",3)+IF(F78="X",4)+IF(G78="X",5)</f>
        <v>2</v>
      </c>
    </row>
    <row r="79" spans="1:25" ht="21.6" customHeight="1" x14ac:dyDescent="0.3">
      <c r="A79" s="19"/>
      <c r="B79" s="16" t="s">
        <v>44</v>
      </c>
      <c r="C79" s="49"/>
      <c r="D79" s="49"/>
      <c r="E79" s="49"/>
      <c r="F79" s="49"/>
      <c r="G79" s="49"/>
    </row>
    <row r="80" spans="1:25" ht="21.6" customHeight="1" x14ac:dyDescent="0.3">
      <c r="A80" s="16" t="s">
        <v>135</v>
      </c>
      <c r="B80" s="25" t="s">
        <v>136</v>
      </c>
      <c r="C80" s="49"/>
      <c r="D80" s="50" t="s">
        <v>39</v>
      </c>
      <c r="E80" s="49"/>
      <c r="F80" s="49"/>
      <c r="G80" s="49"/>
      <c r="H80" s="14">
        <f>IF(C80="X",1)+IF(D80="X",2)+IF(E80="X",3)+IF(F80="X",4)+IF(G80="X",5)</f>
        <v>2</v>
      </c>
    </row>
    <row r="81" spans="1:8" ht="21.6" customHeight="1" x14ac:dyDescent="0.3">
      <c r="A81" s="19"/>
      <c r="B81" s="16" t="s">
        <v>76</v>
      </c>
      <c r="C81" s="49"/>
      <c r="D81" s="49"/>
      <c r="E81" s="49"/>
      <c r="F81" s="49"/>
      <c r="G81" s="49"/>
    </row>
    <row r="82" spans="1:8" ht="21.6" customHeight="1" x14ac:dyDescent="0.3">
      <c r="A82" s="16" t="s">
        <v>137</v>
      </c>
      <c r="B82" s="25" t="s">
        <v>138</v>
      </c>
      <c r="C82" s="49"/>
      <c r="D82" s="49"/>
      <c r="E82" s="50"/>
      <c r="F82" s="49" t="s">
        <v>39</v>
      </c>
      <c r="G82" s="49"/>
      <c r="H82" s="14">
        <f t="shared" ref="H82:H83" si="18">IF(C82="X",1)+IF(D82="X",2)+IF(E82="X",3)+IF(F82="X",4)+IF(G82="X",5)</f>
        <v>4</v>
      </c>
    </row>
    <row r="83" spans="1:8" ht="21.6" customHeight="1" x14ac:dyDescent="0.3">
      <c r="A83" s="16" t="s">
        <v>139</v>
      </c>
      <c r="B83" s="25" t="s">
        <v>140</v>
      </c>
      <c r="C83" s="49"/>
      <c r="D83" s="49"/>
      <c r="E83" s="50" t="s">
        <v>39</v>
      </c>
      <c r="F83" s="49"/>
      <c r="G83" s="49"/>
      <c r="H83" s="14">
        <f t="shared" si="18"/>
        <v>3</v>
      </c>
    </row>
    <row r="84" spans="1:8" ht="21.6" customHeight="1" x14ac:dyDescent="0.3">
      <c r="A84" s="19"/>
      <c r="B84" s="16" t="s">
        <v>57</v>
      </c>
      <c r="C84" s="49"/>
      <c r="D84" s="49"/>
      <c r="E84" s="49"/>
      <c r="F84" s="49"/>
      <c r="G84" s="49"/>
    </row>
    <row r="85" spans="1:8" ht="21.6" customHeight="1" x14ac:dyDescent="0.3">
      <c r="A85" s="16" t="s">
        <v>141</v>
      </c>
      <c r="B85" s="25" t="s">
        <v>142</v>
      </c>
      <c r="C85" s="49"/>
      <c r="D85" s="49"/>
      <c r="E85" s="49"/>
      <c r="F85" s="50" t="s">
        <v>39</v>
      </c>
      <c r="G85" s="49"/>
      <c r="H85" s="14">
        <f t="shared" ref="H85:H86" si="19">IF(C85="X",1)+IF(D85="X",2)+IF(E85="X",3)+IF(F85="X",4)+IF(G85="X",5)</f>
        <v>4</v>
      </c>
    </row>
    <row r="86" spans="1:8" ht="21.6" customHeight="1" x14ac:dyDescent="0.3">
      <c r="A86" s="16" t="s">
        <v>143</v>
      </c>
      <c r="B86" s="25" t="s">
        <v>144</v>
      </c>
      <c r="C86" s="49"/>
      <c r="D86" s="49"/>
      <c r="E86" s="49"/>
      <c r="F86" s="49" t="s">
        <v>39</v>
      </c>
      <c r="G86" s="50"/>
      <c r="H86" s="14">
        <f t="shared" si="19"/>
        <v>4</v>
      </c>
    </row>
  </sheetData>
  <conditionalFormatting sqref="A84:A86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8"/>
  <sheetViews>
    <sheetView workbookViewId="0">
      <selection activeCell="G12" sqref="G12"/>
    </sheetView>
  </sheetViews>
  <sheetFormatPr defaultColWidth="11.19921875" defaultRowHeight="15" customHeight="1" x14ac:dyDescent="0.3"/>
  <cols>
    <col min="1" max="1" width="18.69921875" customWidth="1"/>
    <col min="2" max="2" width="111.69921875" bestFit="1" customWidth="1"/>
    <col min="3" max="3" width="8.69921875" customWidth="1"/>
    <col min="4" max="4" width="12.796875" customWidth="1"/>
    <col min="5" max="5" width="8.69921875" customWidth="1"/>
    <col min="6" max="6" width="16.296875" customWidth="1"/>
    <col min="7" max="7" width="12.3984375" customWidth="1"/>
    <col min="8" max="8" width="14.69921875" customWidth="1"/>
    <col min="9" max="25" width="8.69921875" customWidth="1"/>
  </cols>
  <sheetData>
    <row r="1" spans="1:25" ht="22.05" customHeight="1" x14ac:dyDescent="0.3">
      <c r="B1" s="26"/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7" t="s">
        <v>36</v>
      </c>
    </row>
    <row r="2" spans="1:25" ht="22.05" customHeight="1" x14ac:dyDescent="0.3">
      <c r="A2" s="19"/>
      <c r="B2" s="16" t="s">
        <v>76</v>
      </c>
      <c r="C2" s="45"/>
      <c r="D2" s="45"/>
      <c r="E2" s="45"/>
      <c r="F2" s="45"/>
      <c r="G2" s="45"/>
    </row>
    <row r="3" spans="1:25" ht="22.05" customHeight="1" x14ac:dyDescent="0.3">
      <c r="A3" s="16" t="s">
        <v>175</v>
      </c>
      <c r="B3" s="25" t="s">
        <v>176</v>
      </c>
      <c r="C3" s="45"/>
      <c r="D3" s="45"/>
      <c r="E3" s="46" t="s">
        <v>39</v>
      </c>
      <c r="F3" s="45"/>
      <c r="G3" s="45"/>
      <c r="H3" s="14">
        <f t="shared" ref="H3:H4" si="0">IF(C3="X",1)+IF(D3="X",2)+IF(E3="X",3)+IF(F3="X",4)+IF(G3="X",5)</f>
        <v>3</v>
      </c>
    </row>
    <row r="4" spans="1:25" ht="22.05" customHeight="1" x14ac:dyDescent="0.3">
      <c r="A4" s="16" t="s">
        <v>177</v>
      </c>
      <c r="B4" s="25" t="s">
        <v>178</v>
      </c>
      <c r="C4" s="45"/>
      <c r="D4" s="46" t="s">
        <v>39</v>
      </c>
      <c r="E4" s="45"/>
      <c r="F4" s="45"/>
      <c r="G4" s="45"/>
      <c r="H4" s="14">
        <f t="shared" si="0"/>
        <v>2</v>
      </c>
    </row>
    <row r="5" spans="1:25" ht="22.05" customHeight="1" x14ac:dyDescent="0.3">
      <c r="A5" s="19"/>
      <c r="B5" s="16" t="s">
        <v>57</v>
      </c>
      <c r="C5" s="45"/>
      <c r="D5" s="45"/>
      <c r="E5" s="45"/>
      <c r="F5" s="45"/>
      <c r="G5" s="45"/>
    </row>
    <row r="6" spans="1:25" ht="22.05" customHeight="1" x14ac:dyDescent="0.3">
      <c r="A6" s="16" t="s">
        <v>179</v>
      </c>
      <c r="B6" s="25" t="s">
        <v>180</v>
      </c>
      <c r="C6" s="45"/>
      <c r="D6" s="45"/>
      <c r="E6" s="45"/>
      <c r="F6" s="45"/>
      <c r="G6" s="46" t="s">
        <v>39</v>
      </c>
      <c r="H6" s="14">
        <f t="shared" ref="H6:H7" si="1">IF(C6="X",1)+IF(D6="X",2)+IF(E6="X",3)+IF(F6="X",4)+IF(G6="X",5)</f>
        <v>5</v>
      </c>
    </row>
    <row r="7" spans="1:25" ht="22.05" customHeight="1" x14ac:dyDescent="0.3">
      <c r="A7" s="16" t="s">
        <v>181</v>
      </c>
      <c r="B7" s="25" t="s">
        <v>182</v>
      </c>
      <c r="C7" s="45"/>
      <c r="D7" s="45"/>
      <c r="E7" s="45"/>
      <c r="F7" s="46" t="s">
        <v>39</v>
      </c>
      <c r="G7" s="45"/>
      <c r="H7" s="14">
        <f t="shared" si="1"/>
        <v>4</v>
      </c>
    </row>
    <row r="8" spans="1:25" ht="15.6" x14ac:dyDescent="0.3">
      <c r="A8" s="23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</sheetData>
  <conditionalFormatting sqref="A5:A7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7"/>
  <sheetViews>
    <sheetView zoomScale="44" zoomScaleNormal="44" workbookViewId="0">
      <selection activeCell="C5" sqref="C5"/>
    </sheetView>
  </sheetViews>
  <sheetFormatPr defaultColWidth="11.19921875" defaultRowHeight="15" customHeight="1" x14ac:dyDescent="0.3"/>
  <cols>
    <col min="1" max="1" width="18.69921875" customWidth="1"/>
    <col min="2" max="2" width="163.59765625" bestFit="1" customWidth="1"/>
    <col min="3" max="3" width="14.69921875" customWidth="1"/>
    <col min="4" max="4" width="62.8984375" customWidth="1"/>
    <col min="5" max="5" width="34" customWidth="1"/>
    <col min="6" max="21" width="8.69921875" customWidth="1"/>
  </cols>
  <sheetData>
    <row r="1" spans="1:5" x14ac:dyDescent="0.3">
      <c r="B1" s="16"/>
      <c r="C1" s="17" t="s">
        <v>36</v>
      </c>
      <c r="D1" s="17"/>
    </row>
    <row r="2" spans="1:5" x14ac:dyDescent="0.3">
      <c r="A2" s="16" t="s">
        <v>37</v>
      </c>
      <c r="B2" s="53" t="s">
        <v>38</v>
      </c>
      <c r="C2" s="27">
        <f>AVERAGE(Quest.Dustin!H2,Quest.Undici!H2,Quest.Erica!H2)</f>
        <v>2.6666666666666665</v>
      </c>
      <c r="D2" s="27" t="s">
        <v>183</v>
      </c>
    </row>
    <row r="3" spans="1:5" x14ac:dyDescent="0.3">
      <c r="A3" s="16" t="s">
        <v>40</v>
      </c>
      <c r="B3" s="14" t="s">
        <v>41</v>
      </c>
      <c r="C3" s="27">
        <f>AVERAGE(Quest.Dustin!H3,Quest.Undici!H3,Quest.Erica!H3)</f>
        <v>2.6666666666666665</v>
      </c>
      <c r="D3" s="27" t="s">
        <v>183</v>
      </c>
    </row>
    <row r="4" spans="1:5" x14ac:dyDescent="0.3">
      <c r="A4" s="16" t="s">
        <v>42</v>
      </c>
      <c r="B4" s="14" t="s">
        <v>43</v>
      </c>
      <c r="C4" s="27">
        <f>AVERAGE(Quest.Dustin!H4,Quest.Undici!H4,Quest.Erica!H4)</f>
        <v>3.6666666666666665</v>
      </c>
      <c r="D4" s="27" t="s">
        <v>183</v>
      </c>
    </row>
    <row r="5" spans="1:5" x14ac:dyDescent="0.3">
      <c r="A5" s="19"/>
      <c r="B5" s="14"/>
      <c r="C5" s="28">
        <f>AVERAGE(C2:C4)</f>
        <v>3</v>
      </c>
      <c r="D5" s="27" t="s">
        <v>184</v>
      </c>
      <c r="E5" s="16" t="s">
        <v>30</v>
      </c>
    </row>
    <row r="6" spans="1:5" x14ac:dyDescent="0.3">
      <c r="A6" s="16" t="s">
        <v>45</v>
      </c>
      <c r="B6" s="53" t="s">
        <v>46</v>
      </c>
      <c r="C6" s="27">
        <f>AVERAGE(Quest.Dustin!H6,Quest.Undici!H6,Quest.Erica!H6)</f>
        <v>2</v>
      </c>
      <c r="D6" s="27" t="s">
        <v>183</v>
      </c>
    </row>
    <row r="7" spans="1:5" x14ac:dyDescent="0.3">
      <c r="A7" s="16" t="s">
        <v>47</v>
      </c>
      <c r="B7" s="14" t="s">
        <v>48</v>
      </c>
      <c r="C7" s="27">
        <f>AVERAGE(Quest.Dustin!H7,Quest.Undici!H7,Quest.Erica!H7)</f>
        <v>1.6666666666666667</v>
      </c>
      <c r="D7" s="27" t="s">
        <v>183</v>
      </c>
    </row>
    <row r="8" spans="1:5" x14ac:dyDescent="0.3">
      <c r="A8" s="19"/>
      <c r="B8" s="14"/>
      <c r="C8" s="28">
        <f>AVERAGE(C6:C7)</f>
        <v>1.8333333333333335</v>
      </c>
      <c r="D8" s="27" t="s">
        <v>184</v>
      </c>
      <c r="E8" s="16" t="s">
        <v>44</v>
      </c>
    </row>
    <row r="9" spans="1:5" x14ac:dyDescent="0.3">
      <c r="A9" s="16" t="s">
        <v>49</v>
      </c>
      <c r="B9" s="14" t="s">
        <v>50</v>
      </c>
      <c r="C9" s="27">
        <f>AVERAGE(Quest.Dustin!H10,Quest.Undici!H10,Quest.Erica!H10)</f>
        <v>2</v>
      </c>
      <c r="D9" s="27" t="s">
        <v>183</v>
      </c>
    </row>
    <row r="10" spans="1:5" x14ac:dyDescent="0.3">
      <c r="A10" s="16" t="s">
        <v>51</v>
      </c>
      <c r="B10" s="14" t="s">
        <v>52</v>
      </c>
      <c r="C10" s="27">
        <f>AVERAGE(Quest.Dustin!H11,Quest.Undici!H11,Quest.Erica!H11)</f>
        <v>1.6666666666666667</v>
      </c>
      <c r="D10" s="27" t="s">
        <v>183</v>
      </c>
    </row>
    <row r="11" spans="1:5" x14ac:dyDescent="0.3">
      <c r="A11" s="16" t="s">
        <v>53</v>
      </c>
      <c r="B11" s="14" t="s">
        <v>54</v>
      </c>
      <c r="C11" s="27">
        <f>AVERAGE(Quest.Dustin!H12,Quest.Undici!H12,Quest.Erica!H12)</f>
        <v>2.6666666666666665</v>
      </c>
      <c r="D11" s="27" t="s">
        <v>183</v>
      </c>
    </row>
    <row r="12" spans="1:5" x14ac:dyDescent="0.3">
      <c r="A12" s="19"/>
      <c r="B12" s="14"/>
      <c r="C12" s="28">
        <f>AVERAGE(C9:C11)</f>
        <v>2.1111111111111112</v>
      </c>
      <c r="D12" s="27" t="s">
        <v>184</v>
      </c>
      <c r="E12" s="16" t="s">
        <v>30</v>
      </c>
    </row>
    <row r="13" spans="1:5" x14ac:dyDescent="0.3">
      <c r="A13" s="16" t="s">
        <v>55</v>
      </c>
      <c r="B13" s="14" t="s">
        <v>56</v>
      </c>
      <c r="C13" s="27">
        <f>AVERAGE(Quest.Dustin!H14,Quest.Undici!H14,Quest.Erica!H14)</f>
        <v>2.6666666666666665</v>
      </c>
      <c r="D13" s="27" t="s">
        <v>183</v>
      </c>
    </row>
    <row r="14" spans="1:5" x14ac:dyDescent="0.3">
      <c r="A14" s="19"/>
      <c r="B14" s="24"/>
      <c r="C14" s="28">
        <f>AVERAGE(C13)</f>
        <v>2.6666666666666665</v>
      </c>
      <c r="D14" s="27" t="s">
        <v>184</v>
      </c>
      <c r="E14" s="16" t="s">
        <v>44</v>
      </c>
    </row>
    <row r="15" spans="1:5" x14ac:dyDescent="0.3">
      <c r="A15" s="16" t="s">
        <v>58</v>
      </c>
      <c r="B15" s="14" t="s">
        <v>59</v>
      </c>
      <c r="C15" s="27">
        <f>AVERAGE(Quest.Dustin!H16,Quest.Undici!H16,Quest.Erica!H16)</f>
        <v>5</v>
      </c>
      <c r="D15" s="27" t="s">
        <v>183</v>
      </c>
    </row>
    <row r="16" spans="1:5" x14ac:dyDescent="0.3">
      <c r="A16" s="16" t="s">
        <v>60</v>
      </c>
      <c r="B16" s="14" t="s">
        <v>61</v>
      </c>
      <c r="C16" s="27">
        <f>AVERAGE(Quest.Dustin!H17,Quest.Undici!H17,Quest.Erica!H17)</f>
        <v>4.333333333333333</v>
      </c>
      <c r="D16" s="27" t="s">
        <v>183</v>
      </c>
    </row>
    <row r="17" spans="1:5" x14ac:dyDescent="0.3">
      <c r="A17" s="19"/>
      <c r="B17" s="24"/>
      <c r="C17" s="28">
        <f>AVERAGE(C15:C16)</f>
        <v>4.6666666666666661</v>
      </c>
      <c r="D17" s="27" t="s">
        <v>184</v>
      </c>
      <c r="E17" s="16" t="s">
        <v>57</v>
      </c>
    </row>
    <row r="18" spans="1:5" x14ac:dyDescent="0.3">
      <c r="A18" s="16" t="s">
        <v>62</v>
      </c>
      <c r="B18" s="14" t="s">
        <v>63</v>
      </c>
      <c r="C18" s="27">
        <f>AVERAGE(Quest.Dustin!H20,Quest.Undici!H20,Quest.Erica!H20)</f>
        <v>4</v>
      </c>
      <c r="D18" s="27" t="s">
        <v>183</v>
      </c>
    </row>
    <row r="19" spans="1:5" x14ac:dyDescent="0.3">
      <c r="A19" s="16" t="s">
        <v>64</v>
      </c>
      <c r="B19" s="14" t="s">
        <v>65</v>
      </c>
      <c r="C19" s="27">
        <f>AVERAGE(Quest.Dustin!H21,Quest.Undici!H21,Quest.Erica!H21)</f>
        <v>2.6666666666666665</v>
      </c>
      <c r="D19" s="27" t="s">
        <v>183</v>
      </c>
    </row>
    <row r="20" spans="1:5" x14ac:dyDescent="0.3">
      <c r="A20" s="19"/>
      <c r="B20" s="24"/>
      <c r="C20" s="28">
        <f>AVERAGE(C18:C19)</f>
        <v>3.333333333333333</v>
      </c>
      <c r="D20" s="27" t="s">
        <v>184</v>
      </c>
      <c r="E20" s="16" t="s">
        <v>30</v>
      </c>
    </row>
    <row r="21" spans="1:5" x14ac:dyDescent="0.3">
      <c r="A21" s="16" t="s">
        <v>66</v>
      </c>
      <c r="B21" s="53" t="s">
        <v>67</v>
      </c>
      <c r="C21" s="27">
        <f>AVERAGE(Quest.Dustin!H23,Quest.Undici!H23,Quest.Erica!H23)</f>
        <v>2.3333333333333335</v>
      </c>
      <c r="D21" s="27" t="s">
        <v>183</v>
      </c>
    </row>
    <row r="22" spans="1:5" x14ac:dyDescent="0.3">
      <c r="A22" s="16" t="s">
        <v>68</v>
      </c>
      <c r="B22" s="14" t="s">
        <v>69</v>
      </c>
      <c r="C22" s="27">
        <f>AVERAGE(Quest.Dustin!H24,Quest.Undici!H24,Quest.Erica!H24)</f>
        <v>3.3333333333333335</v>
      </c>
      <c r="D22" s="27" t="s">
        <v>183</v>
      </c>
    </row>
    <row r="23" spans="1:5" x14ac:dyDescent="0.3">
      <c r="A23" s="19"/>
      <c r="B23" s="24"/>
      <c r="C23" s="28">
        <f>AVERAGE(C21:C22)</f>
        <v>2.8333333333333335</v>
      </c>
      <c r="D23" s="27" t="s">
        <v>184</v>
      </c>
      <c r="E23" s="16" t="s">
        <v>44</v>
      </c>
    </row>
    <row r="24" spans="1:5" x14ac:dyDescent="0.3">
      <c r="A24" s="16" t="s">
        <v>70</v>
      </c>
      <c r="B24" s="14" t="s">
        <v>71</v>
      </c>
      <c r="C24" s="27">
        <f>AVERAGE(Quest.Dustin!H26,Quest.Undici!H26,Quest.Erica!H26)</f>
        <v>5</v>
      </c>
      <c r="D24" s="27" t="s">
        <v>183</v>
      </c>
    </row>
    <row r="25" spans="1:5" x14ac:dyDescent="0.3">
      <c r="A25" s="16" t="s">
        <v>72</v>
      </c>
      <c r="B25" s="14" t="s">
        <v>73</v>
      </c>
      <c r="C25" s="27">
        <f>AVERAGE(Quest.Dustin!H27,Quest.Undici!H27,Quest.Erica!H27)</f>
        <v>4</v>
      </c>
      <c r="D25" s="27" t="s">
        <v>183</v>
      </c>
    </row>
    <row r="26" spans="1:5" x14ac:dyDescent="0.3">
      <c r="A26" s="19"/>
      <c r="B26" s="24"/>
      <c r="C26" s="28">
        <f>AVERAGE(C24:C25)</f>
        <v>4.5</v>
      </c>
      <c r="D26" s="27" t="s">
        <v>184</v>
      </c>
      <c r="E26" s="16" t="s">
        <v>57</v>
      </c>
    </row>
    <row r="27" spans="1:5" x14ac:dyDescent="0.3">
      <c r="A27" s="16" t="s">
        <v>74</v>
      </c>
      <c r="B27" s="14" t="s">
        <v>75</v>
      </c>
      <c r="C27" s="27">
        <f>AVERAGE(Quest.Dustin!H30,Quest.Undici!H30,Quest.Erica!H30)</f>
        <v>3.6666666666666665</v>
      </c>
      <c r="D27" s="27" t="s">
        <v>183</v>
      </c>
    </row>
    <row r="28" spans="1:5" x14ac:dyDescent="0.3">
      <c r="A28" s="19"/>
      <c r="B28" s="24"/>
      <c r="C28" s="28">
        <f>AVERAGE(C27)</f>
        <v>3.6666666666666665</v>
      </c>
      <c r="D28" s="27" t="s">
        <v>184</v>
      </c>
      <c r="E28" s="16" t="s">
        <v>44</v>
      </c>
    </row>
    <row r="29" spans="1:5" x14ac:dyDescent="0.3">
      <c r="A29" s="16" t="s">
        <v>77</v>
      </c>
      <c r="B29" s="14" t="s">
        <v>78</v>
      </c>
      <c r="C29" s="27">
        <f>AVERAGE(Quest.Dustin!H32,Quest.Undici!H32,Quest.Erica!H32)</f>
        <v>3.3333333333333335</v>
      </c>
      <c r="D29" s="27" t="s">
        <v>183</v>
      </c>
    </row>
    <row r="30" spans="1:5" x14ac:dyDescent="0.3">
      <c r="A30" s="16" t="s">
        <v>79</v>
      </c>
      <c r="B30" s="24" t="s">
        <v>80</v>
      </c>
      <c r="C30" s="27">
        <f>AVERAGE(Quest.Dustin!H33,Quest.Undici!H33,Quest.Erica!H33)</f>
        <v>3.3333333333333335</v>
      </c>
      <c r="D30" s="27" t="s">
        <v>183</v>
      </c>
    </row>
    <row r="31" spans="1:5" x14ac:dyDescent="0.3">
      <c r="A31" s="16" t="s">
        <v>81</v>
      </c>
      <c r="B31" s="24" t="s">
        <v>82</v>
      </c>
      <c r="C31" s="27">
        <f>AVERAGE(Quest.Dustin!H34,Quest.Undici!H34,Quest.Erica!H34)</f>
        <v>2.6666666666666665</v>
      </c>
      <c r="D31" s="27" t="s">
        <v>183</v>
      </c>
    </row>
    <row r="32" spans="1:5" x14ac:dyDescent="0.3">
      <c r="A32" s="19"/>
      <c r="B32" s="24"/>
      <c r="C32" s="28">
        <f>AVERAGE(C29:C31)</f>
        <v>3.1111111111111112</v>
      </c>
      <c r="D32" s="27" t="s">
        <v>184</v>
      </c>
      <c r="E32" s="16" t="s">
        <v>76</v>
      </c>
    </row>
    <row r="33" spans="1:5" x14ac:dyDescent="0.3">
      <c r="A33" s="16" t="s">
        <v>83</v>
      </c>
      <c r="B33" s="14" t="s">
        <v>84</v>
      </c>
      <c r="C33" s="27">
        <f>AVERAGE(Quest.Dustin!H36,Quest.Undici!H36,Quest.Erica!H36)</f>
        <v>4.333333333333333</v>
      </c>
      <c r="D33" s="27" t="s">
        <v>183</v>
      </c>
    </row>
    <row r="34" spans="1:5" x14ac:dyDescent="0.3">
      <c r="A34" s="16" t="s">
        <v>85</v>
      </c>
      <c r="B34" s="14" t="s">
        <v>86</v>
      </c>
      <c r="C34" s="27">
        <f>AVERAGE(Quest.Dustin!H37,Quest.Undici!H37,Quest.Erica!H37)</f>
        <v>5</v>
      </c>
      <c r="D34" s="27" t="s">
        <v>183</v>
      </c>
    </row>
    <row r="35" spans="1:5" x14ac:dyDescent="0.3">
      <c r="A35" s="16" t="s">
        <v>87</v>
      </c>
      <c r="B35" s="14" t="s">
        <v>88</v>
      </c>
      <c r="C35" s="27">
        <f>AVERAGE(Quest.Dustin!H38,Quest.Undici!H38,Quest.Erica!H38)</f>
        <v>3.6666666666666665</v>
      </c>
      <c r="D35" s="27" t="s">
        <v>183</v>
      </c>
    </row>
    <row r="36" spans="1:5" x14ac:dyDescent="0.3">
      <c r="A36" s="19"/>
      <c r="B36" s="24"/>
      <c r="C36" s="28">
        <f>AVERAGE(C33:C35)</f>
        <v>4.333333333333333</v>
      </c>
      <c r="D36" s="27" t="s">
        <v>184</v>
      </c>
      <c r="E36" s="16" t="s">
        <v>57</v>
      </c>
    </row>
    <row r="37" spans="1:5" x14ac:dyDescent="0.3">
      <c r="A37" s="16" t="s">
        <v>89</v>
      </c>
      <c r="B37" s="14" t="s">
        <v>90</v>
      </c>
      <c r="C37" s="27">
        <f>AVERAGE(Quest.Dustin!H41,Quest.Undici!H41,Quest.Erica!H41,Quest.MrClark!H3)</f>
        <v>4</v>
      </c>
      <c r="D37" s="27" t="s">
        <v>183</v>
      </c>
    </row>
    <row r="38" spans="1:5" x14ac:dyDescent="0.3">
      <c r="A38" s="16" t="s">
        <v>91</v>
      </c>
      <c r="B38" s="14" t="s">
        <v>92</v>
      </c>
      <c r="C38" s="27">
        <f>AVERAGE(Quest.Dustin!H42,Quest.Undici!H42,Quest.Erica!H42,Quest.MrClark!H42)</f>
        <v>4</v>
      </c>
      <c r="D38" s="27" t="s">
        <v>183</v>
      </c>
    </row>
    <row r="39" spans="1:5" x14ac:dyDescent="0.3">
      <c r="A39" s="19"/>
      <c r="B39" s="24"/>
      <c r="C39" s="28">
        <f>AVERAGE(C37:C38)</f>
        <v>4</v>
      </c>
      <c r="D39" s="27" t="s">
        <v>184</v>
      </c>
      <c r="E39" s="16" t="s">
        <v>44</v>
      </c>
    </row>
    <row r="40" spans="1:5" x14ac:dyDescent="0.3">
      <c r="A40" s="16" t="s">
        <v>93</v>
      </c>
      <c r="B40" s="14" t="s">
        <v>94</v>
      </c>
      <c r="C40" s="27">
        <f>AVERAGE(Quest.Dustin!H44,Quest.Undici!H44,Quest.Erica!H44,Quest.MrClark!H5)</f>
        <v>3.25</v>
      </c>
      <c r="D40" s="27" t="s">
        <v>183</v>
      </c>
    </row>
    <row r="41" spans="1:5" x14ac:dyDescent="0.3">
      <c r="A41" s="16" t="s">
        <v>95</v>
      </c>
      <c r="B41" s="14" t="s">
        <v>96</v>
      </c>
      <c r="C41" s="27">
        <f>AVERAGE(Quest.Dustin!H45,Quest.Undici!H45,Quest.Erica!H45,Quest.MrClark!H6)</f>
        <v>3.25</v>
      </c>
      <c r="D41" s="27" t="s">
        <v>183</v>
      </c>
    </row>
    <row r="42" spans="1:5" x14ac:dyDescent="0.3">
      <c r="A42" s="19"/>
      <c r="B42" s="24"/>
      <c r="C42" s="28">
        <f>AVERAGE(C40:C41)</f>
        <v>3.25</v>
      </c>
      <c r="D42" s="27" t="s">
        <v>184</v>
      </c>
      <c r="E42" s="16" t="s">
        <v>76</v>
      </c>
    </row>
    <row r="43" spans="1:5" x14ac:dyDescent="0.3">
      <c r="A43" s="16" t="s">
        <v>97</v>
      </c>
      <c r="B43" s="14" t="s">
        <v>145</v>
      </c>
      <c r="C43" s="27">
        <f>AVERAGE(Quest.Dustin!H48,Quest.Undici!H48,Quest.Erica!H48)</f>
        <v>3</v>
      </c>
      <c r="D43" s="27" t="s">
        <v>183</v>
      </c>
    </row>
    <row r="44" spans="1:5" x14ac:dyDescent="0.3">
      <c r="A44" s="16" t="s">
        <v>99</v>
      </c>
      <c r="B44" s="14" t="s">
        <v>100</v>
      </c>
      <c r="C44" s="27">
        <f>AVERAGE(Quest.Dustin!H49,Quest.Undici!H49,Quest.Erica!H49)</f>
        <v>2.3333333333333335</v>
      </c>
      <c r="D44" s="27" t="s">
        <v>183</v>
      </c>
    </row>
    <row r="45" spans="1:5" x14ac:dyDescent="0.3">
      <c r="A45" s="16" t="s">
        <v>101</v>
      </c>
      <c r="B45" s="14" t="s">
        <v>102</v>
      </c>
      <c r="C45" s="27">
        <f>AVERAGE(Quest.Dustin!H50,Quest.Undici!H50,Quest.Erica!H50)</f>
        <v>2.3333333333333335</v>
      </c>
      <c r="D45" s="27" t="s">
        <v>183</v>
      </c>
    </row>
    <row r="46" spans="1:5" x14ac:dyDescent="0.3">
      <c r="A46" s="19"/>
      <c r="B46" s="14"/>
      <c r="C46" s="28">
        <f>AVERAGE(C43:C45)</f>
        <v>2.5555555555555558</v>
      </c>
      <c r="D46" s="27" t="s">
        <v>184</v>
      </c>
      <c r="E46" s="16" t="s">
        <v>30</v>
      </c>
    </row>
    <row r="47" spans="1:5" x14ac:dyDescent="0.3">
      <c r="A47" s="16" t="s">
        <v>103</v>
      </c>
      <c r="B47" s="14" t="s">
        <v>104</v>
      </c>
      <c r="C47" s="27">
        <f>AVERAGE(Quest.Dustin!H52,Quest.Undici!H52,Quest.Erica!H52)</f>
        <v>3.3333333333333335</v>
      </c>
      <c r="D47" s="27" t="s">
        <v>183</v>
      </c>
    </row>
    <row r="48" spans="1:5" x14ac:dyDescent="0.3">
      <c r="A48" s="16" t="s">
        <v>105</v>
      </c>
      <c r="B48" s="14" t="s">
        <v>106</v>
      </c>
      <c r="C48" s="27">
        <f>AVERAGE(Quest.Dustin!H53,Quest.Undici!H53,Quest.Erica!H53)</f>
        <v>2.6666666666666665</v>
      </c>
      <c r="D48" s="27" t="s">
        <v>183</v>
      </c>
    </row>
    <row r="49" spans="1:5" x14ac:dyDescent="0.3">
      <c r="A49" s="19"/>
      <c r="B49" s="24"/>
      <c r="C49" s="28">
        <f>AVERAGE(C47:C48)</f>
        <v>3</v>
      </c>
      <c r="D49" s="27" t="s">
        <v>184</v>
      </c>
      <c r="E49" s="16" t="s">
        <v>57</v>
      </c>
    </row>
    <row r="50" spans="1:5" x14ac:dyDescent="0.3">
      <c r="A50" s="16" t="s">
        <v>107</v>
      </c>
      <c r="B50" s="14" t="s">
        <v>108</v>
      </c>
      <c r="C50" s="27">
        <f>AVERAGE(Quest.Dustin!H56,Quest.Undici!H56,Quest.Erica!H56)</f>
        <v>3</v>
      </c>
      <c r="D50" s="27" t="s">
        <v>183</v>
      </c>
    </row>
    <row r="51" spans="1:5" x14ac:dyDescent="0.3">
      <c r="A51" s="19"/>
      <c r="B51" s="24"/>
      <c r="C51" s="28">
        <f>AVERAGE(C50)</f>
        <v>3</v>
      </c>
      <c r="D51" s="27" t="s">
        <v>184</v>
      </c>
      <c r="E51" s="16" t="s">
        <v>44</v>
      </c>
    </row>
    <row r="52" spans="1:5" x14ac:dyDescent="0.3">
      <c r="A52" s="16" t="s">
        <v>109</v>
      </c>
      <c r="B52" s="14" t="s">
        <v>110</v>
      </c>
      <c r="C52" s="27">
        <f>AVERAGE(Quest.Dustin!H58,Quest.Undici!H58,Quest.Erica!H58)</f>
        <v>3</v>
      </c>
      <c r="D52" s="27" t="s">
        <v>183</v>
      </c>
    </row>
    <row r="53" spans="1:5" x14ac:dyDescent="0.3">
      <c r="A53" s="16" t="s">
        <v>111</v>
      </c>
      <c r="B53" s="14" t="s">
        <v>112</v>
      </c>
      <c r="C53" s="27">
        <f>AVERAGE(Quest.Dustin!H59,Quest.Undici!H59,Quest.Erica!H59)</f>
        <v>2.6666666666666665</v>
      </c>
      <c r="D53" s="27" t="s">
        <v>183</v>
      </c>
    </row>
    <row r="54" spans="1:5" x14ac:dyDescent="0.3">
      <c r="A54" s="19"/>
      <c r="B54" s="24"/>
      <c r="C54" s="28">
        <f>AVERAGE(C52:C53)</f>
        <v>2.833333333333333</v>
      </c>
      <c r="D54" s="27" t="s">
        <v>184</v>
      </c>
      <c r="E54" s="16" t="s">
        <v>76</v>
      </c>
    </row>
    <row r="55" spans="1:5" x14ac:dyDescent="0.3">
      <c r="A55" s="16" t="s">
        <v>113</v>
      </c>
      <c r="B55" s="14" t="s">
        <v>114</v>
      </c>
      <c r="C55" s="27">
        <f>AVERAGE(Quest.Dustin!H61,Quest.Undici!H61,Quest.Erica!H61)</f>
        <v>4.666666666666667</v>
      </c>
      <c r="D55" s="27" t="s">
        <v>183</v>
      </c>
    </row>
    <row r="56" spans="1:5" x14ac:dyDescent="0.3">
      <c r="A56" s="16" t="s">
        <v>115</v>
      </c>
      <c r="B56" s="14" t="s">
        <v>116</v>
      </c>
      <c r="C56" s="27">
        <f>AVERAGE(Quest.Dustin!H62,Quest.Undici!H62,Quest.Erica!H62)</f>
        <v>4.333333333333333</v>
      </c>
      <c r="D56" s="27" t="s">
        <v>183</v>
      </c>
    </row>
    <row r="57" spans="1:5" x14ac:dyDescent="0.3">
      <c r="A57" s="16" t="s">
        <v>117</v>
      </c>
      <c r="B57" s="14" t="s">
        <v>118</v>
      </c>
      <c r="C57" s="27">
        <f>AVERAGE(Quest.Dustin!H63,Quest.Undici!H63,Quest.Erica!H63)</f>
        <v>4.666666666666667</v>
      </c>
      <c r="D57" s="27" t="s">
        <v>183</v>
      </c>
    </row>
    <row r="58" spans="1:5" x14ac:dyDescent="0.3">
      <c r="A58" s="19"/>
      <c r="B58" s="24"/>
      <c r="C58" s="28">
        <f>AVERAGE(C55:C57)</f>
        <v>4.5555555555555562</v>
      </c>
      <c r="D58" s="27" t="s">
        <v>184</v>
      </c>
      <c r="E58" s="16" t="s">
        <v>57</v>
      </c>
    </row>
    <row r="59" spans="1:5" x14ac:dyDescent="0.3">
      <c r="A59" s="16" t="s">
        <v>119</v>
      </c>
      <c r="B59" s="25" t="s">
        <v>120</v>
      </c>
      <c r="C59" s="27">
        <f>AVERAGE(Quest.Dustin!H66,Quest.Undici!H66,Quest.Erica!H66,Quest.MrClark!H9)</f>
        <v>3.25</v>
      </c>
      <c r="D59" s="27" t="s">
        <v>183</v>
      </c>
    </row>
    <row r="60" spans="1:5" x14ac:dyDescent="0.3">
      <c r="A60" s="16" t="s">
        <v>121</v>
      </c>
      <c r="B60" s="25" t="s">
        <v>122</v>
      </c>
      <c r="C60" s="27">
        <f>AVERAGE(Quest.Dustin!H67,Quest.Undici!H67,Quest.Erica!H67,Quest.MrClark!H10)</f>
        <v>3.75</v>
      </c>
      <c r="D60" s="27" t="s">
        <v>183</v>
      </c>
    </row>
    <row r="61" spans="1:5" x14ac:dyDescent="0.3">
      <c r="A61" s="19"/>
      <c r="B61" s="14"/>
      <c r="C61" s="28">
        <f>AVERAGE(C59:C60)</f>
        <v>3.5</v>
      </c>
      <c r="D61" s="27" t="s">
        <v>184</v>
      </c>
      <c r="E61" s="16" t="s">
        <v>30</v>
      </c>
    </row>
    <row r="62" spans="1:5" x14ac:dyDescent="0.3">
      <c r="A62" s="16" t="s">
        <v>123</v>
      </c>
      <c r="B62" s="25" t="s">
        <v>124</v>
      </c>
      <c r="C62" s="27">
        <f>AVERAGE(Quest.Dustin!H69,Quest.Undici!H69,Quest.Erica!H69,Quest.MrClark!H12)</f>
        <v>1.5</v>
      </c>
      <c r="D62" s="27" t="s">
        <v>183</v>
      </c>
    </row>
    <row r="63" spans="1:5" x14ac:dyDescent="0.3">
      <c r="A63" s="19"/>
      <c r="B63" s="24"/>
      <c r="C63" s="28">
        <f>AVERAGE(C62)</f>
        <v>1.5</v>
      </c>
      <c r="D63" s="27" t="s">
        <v>184</v>
      </c>
      <c r="E63" s="16" t="s">
        <v>44</v>
      </c>
    </row>
    <row r="64" spans="1:5" x14ac:dyDescent="0.3">
      <c r="A64" s="16" t="s">
        <v>125</v>
      </c>
      <c r="B64" s="25" t="s">
        <v>126</v>
      </c>
      <c r="C64" s="27">
        <f>AVERAGE(Quest.Dustin!H71,Quest.Undici!H71,Quest.Erica!H71,Quest.MrClark!H14)</f>
        <v>4</v>
      </c>
      <c r="D64" s="27" t="s">
        <v>183</v>
      </c>
    </row>
    <row r="65" spans="1:5" x14ac:dyDescent="0.3">
      <c r="A65" s="16" t="s">
        <v>127</v>
      </c>
      <c r="B65" s="25" t="s">
        <v>128</v>
      </c>
      <c r="C65" s="27">
        <f>AVERAGE(Quest.Dustin!H72,Quest.Undici!H72,Quest.Erica!H72,Quest.MrClark!H15)</f>
        <v>4.5</v>
      </c>
      <c r="D65" s="27" t="s">
        <v>183</v>
      </c>
    </row>
    <row r="66" spans="1:5" x14ac:dyDescent="0.3">
      <c r="A66" s="19"/>
      <c r="B66" s="24"/>
      <c r="C66" s="28">
        <f>AVERAGE(C64:C65)</f>
        <v>4.25</v>
      </c>
      <c r="D66" s="27" t="s">
        <v>184</v>
      </c>
      <c r="E66" s="16" t="s">
        <v>76</v>
      </c>
    </row>
    <row r="67" spans="1:5" x14ac:dyDescent="0.3">
      <c r="A67" s="16" t="s">
        <v>129</v>
      </c>
      <c r="B67" s="25" t="s">
        <v>130</v>
      </c>
      <c r="C67" s="27">
        <f>AVERAGE(Quest.Dustin!H74,Quest.Undici!H74,Quest.Erica!H74,Quest.MrClark!H17)</f>
        <v>4.5</v>
      </c>
      <c r="D67" s="27" t="s">
        <v>183</v>
      </c>
    </row>
    <row r="68" spans="1:5" x14ac:dyDescent="0.3">
      <c r="A68" s="16" t="s">
        <v>131</v>
      </c>
      <c r="B68" s="14" t="s">
        <v>132</v>
      </c>
      <c r="C68" s="27">
        <f>AVERAGE(Quest.Dustin!H75,Quest.Undici!H75,Quest.Erica!H75,Quest.MrClark!H18)</f>
        <v>4.5</v>
      </c>
      <c r="D68" s="27" t="s">
        <v>183</v>
      </c>
    </row>
    <row r="69" spans="1:5" x14ac:dyDescent="0.3">
      <c r="A69" s="19"/>
      <c r="B69" s="24"/>
      <c r="C69" s="28">
        <f>AVERAGE(C67:C68)</f>
        <v>4.5</v>
      </c>
      <c r="D69" s="27" t="s">
        <v>184</v>
      </c>
      <c r="E69" s="16" t="s">
        <v>57</v>
      </c>
    </row>
    <row r="70" spans="1:5" x14ac:dyDescent="0.3">
      <c r="A70" s="16" t="s">
        <v>147</v>
      </c>
      <c r="B70" s="25" t="s">
        <v>148</v>
      </c>
      <c r="C70" s="27">
        <f>AVERAGE(Quest.MrClark!H21)</f>
        <v>4</v>
      </c>
      <c r="D70" s="27" t="s">
        <v>183</v>
      </c>
    </row>
    <row r="71" spans="1:5" x14ac:dyDescent="0.3">
      <c r="A71" s="16" t="s">
        <v>149</v>
      </c>
      <c r="B71" s="25" t="s">
        <v>150</v>
      </c>
      <c r="C71" s="27">
        <f>AVERAGE(Quest.MrClark!H22)</f>
        <v>4</v>
      </c>
      <c r="D71" s="27" t="s">
        <v>183</v>
      </c>
    </row>
    <row r="72" spans="1:5" x14ac:dyDescent="0.3">
      <c r="A72" s="19"/>
      <c r="B72" s="14"/>
      <c r="C72" s="28">
        <f>AVERAGE(C70:C71)</f>
        <v>4</v>
      </c>
      <c r="D72" s="27" t="s">
        <v>184</v>
      </c>
      <c r="E72" s="16" t="s">
        <v>30</v>
      </c>
    </row>
    <row r="73" spans="1:5" x14ac:dyDescent="0.3">
      <c r="A73" s="16" t="s">
        <v>151</v>
      </c>
      <c r="B73" s="25" t="s">
        <v>152</v>
      </c>
      <c r="C73" s="27">
        <f>AVERAGE(Quest.MrClark!H24)</f>
        <v>3</v>
      </c>
      <c r="D73" s="27" t="s">
        <v>183</v>
      </c>
    </row>
    <row r="74" spans="1:5" x14ac:dyDescent="0.3">
      <c r="A74" s="19"/>
      <c r="B74" s="24"/>
      <c r="C74" s="28">
        <f>AVERAGE(C73)</f>
        <v>3</v>
      </c>
      <c r="D74" s="27" t="s">
        <v>184</v>
      </c>
      <c r="E74" s="16" t="s">
        <v>44</v>
      </c>
    </row>
    <row r="75" spans="1:5" x14ac:dyDescent="0.3">
      <c r="A75" s="16" t="s">
        <v>153</v>
      </c>
      <c r="B75" s="25" t="s">
        <v>154</v>
      </c>
      <c r="C75" s="27">
        <f>AVERAGE(Quest.MrClark!H26)</f>
        <v>3</v>
      </c>
      <c r="D75" s="27" t="s">
        <v>183</v>
      </c>
    </row>
    <row r="76" spans="1:5" x14ac:dyDescent="0.3">
      <c r="A76" s="16" t="s">
        <v>155</v>
      </c>
      <c r="B76" s="25" t="s">
        <v>156</v>
      </c>
      <c r="C76" s="27">
        <f>AVERAGE(Quest.MrClark!H27)</f>
        <v>2</v>
      </c>
      <c r="D76" s="27" t="s">
        <v>183</v>
      </c>
    </row>
    <row r="77" spans="1:5" x14ac:dyDescent="0.3">
      <c r="A77" s="19"/>
      <c r="B77" s="24"/>
      <c r="C77" s="28">
        <f>AVERAGE(C75:C76)</f>
        <v>2.5</v>
      </c>
      <c r="D77" s="27" t="s">
        <v>184</v>
      </c>
      <c r="E77" s="16" t="s">
        <v>76</v>
      </c>
    </row>
    <row r="78" spans="1:5" x14ac:dyDescent="0.3">
      <c r="A78" s="16" t="s">
        <v>157</v>
      </c>
      <c r="B78" s="25" t="s">
        <v>158</v>
      </c>
      <c r="C78" s="27">
        <f>AVERAGE(Quest.MrClark!H29)</f>
        <v>4</v>
      </c>
      <c r="D78" s="27" t="s">
        <v>183</v>
      </c>
    </row>
    <row r="79" spans="1:5" x14ac:dyDescent="0.3">
      <c r="A79" s="16" t="s">
        <v>159</v>
      </c>
      <c r="B79" s="25" t="s">
        <v>160</v>
      </c>
      <c r="C79" s="27">
        <f>AVERAGE(Quest.MrClark!H30)</f>
        <v>5</v>
      </c>
      <c r="D79" s="27" t="s">
        <v>183</v>
      </c>
    </row>
    <row r="80" spans="1:5" x14ac:dyDescent="0.3">
      <c r="A80" s="19"/>
      <c r="B80" s="24"/>
      <c r="C80" s="28">
        <f>AVERAGE(C78:C79)</f>
        <v>4.5</v>
      </c>
      <c r="D80" s="27" t="s">
        <v>184</v>
      </c>
      <c r="E80" s="16" t="s">
        <v>57</v>
      </c>
    </row>
    <row r="81" spans="1:5" x14ac:dyDescent="0.3">
      <c r="A81" s="16" t="s">
        <v>161</v>
      </c>
      <c r="B81" s="25" t="s">
        <v>162</v>
      </c>
      <c r="C81" s="27">
        <f>AVERAGE(Quest.MrClark!H33)</f>
        <v>4</v>
      </c>
      <c r="D81" s="27" t="s">
        <v>183</v>
      </c>
    </row>
    <row r="82" spans="1:5" x14ac:dyDescent="0.3">
      <c r="A82" s="16" t="s">
        <v>163</v>
      </c>
      <c r="B82" s="14" t="s">
        <v>164</v>
      </c>
      <c r="C82" s="27">
        <f>AVERAGE(Quest.MrClark!H34)</f>
        <v>3</v>
      </c>
      <c r="D82" s="27" t="s">
        <v>183</v>
      </c>
    </row>
    <row r="83" spans="1:5" x14ac:dyDescent="0.3">
      <c r="A83" s="19"/>
      <c r="B83" s="14"/>
      <c r="C83" s="28">
        <f>AVERAGE(C81:C82)</f>
        <v>3.5</v>
      </c>
      <c r="D83" s="27" t="s">
        <v>184</v>
      </c>
      <c r="E83" s="16" t="s">
        <v>30</v>
      </c>
    </row>
    <row r="84" spans="1:5" x14ac:dyDescent="0.3">
      <c r="A84" s="16" t="s">
        <v>165</v>
      </c>
      <c r="B84" s="25" t="s">
        <v>166</v>
      </c>
      <c r="C84" s="27">
        <f>AVERAGE(Quest.MrClark!H36)</f>
        <v>3</v>
      </c>
      <c r="D84" s="27" t="s">
        <v>183</v>
      </c>
    </row>
    <row r="85" spans="1:5" x14ac:dyDescent="0.3">
      <c r="A85" s="19"/>
      <c r="B85" s="24"/>
      <c r="C85" s="28">
        <f>AVERAGE(C84)</f>
        <v>3</v>
      </c>
      <c r="D85" s="27" t="s">
        <v>184</v>
      </c>
      <c r="E85" s="16" t="s">
        <v>44</v>
      </c>
    </row>
    <row r="86" spans="1:5" x14ac:dyDescent="0.3">
      <c r="A86" s="16" t="s">
        <v>167</v>
      </c>
      <c r="B86" s="25" t="s">
        <v>168</v>
      </c>
      <c r="C86" s="27">
        <f>AVERAGE(Quest.MrClark!H38)</f>
        <v>4</v>
      </c>
      <c r="D86" s="27" t="s">
        <v>183</v>
      </c>
    </row>
    <row r="87" spans="1:5" x14ac:dyDescent="0.3">
      <c r="A87" s="16" t="s">
        <v>169</v>
      </c>
      <c r="B87" s="25" t="s">
        <v>170</v>
      </c>
      <c r="C87" s="27">
        <f>AVERAGE(Quest.MrClark!H39)</f>
        <v>2</v>
      </c>
      <c r="D87" s="27" t="s">
        <v>183</v>
      </c>
    </row>
    <row r="88" spans="1:5" x14ac:dyDescent="0.3">
      <c r="A88" s="19"/>
      <c r="B88" s="24"/>
      <c r="C88" s="28">
        <f>AVERAGE(C86:C87)</f>
        <v>3</v>
      </c>
      <c r="D88" s="27" t="s">
        <v>184</v>
      </c>
      <c r="E88" s="16" t="s">
        <v>76</v>
      </c>
    </row>
    <row r="89" spans="1:5" x14ac:dyDescent="0.3">
      <c r="A89" s="16" t="s">
        <v>171</v>
      </c>
      <c r="B89" s="25" t="s">
        <v>172</v>
      </c>
      <c r="C89" s="27">
        <f>AVERAGE(Quest.MrClark!H41)</f>
        <v>4</v>
      </c>
      <c r="D89" s="27" t="s">
        <v>183</v>
      </c>
    </row>
    <row r="90" spans="1:5" x14ac:dyDescent="0.3">
      <c r="A90" s="16" t="s">
        <v>173</v>
      </c>
      <c r="B90" s="25" t="s">
        <v>174</v>
      </c>
      <c r="C90" s="27">
        <f>AVERAGE(Quest.MrClark!H42)</f>
        <v>5</v>
      </c>
      <c r="D90" s="27" t="s">
        <v>183</v>
      </c>
    </row>
    <row r="91" spans="1:5" x14ac:dyDescent="0.3">
      <c r="A91" s="19"/>
      <c r="B91" s="24"/>
      <c r="C91" s="28">
        <f>AVERAGE(C89:C90)</f>
        <v>4.5</v>
      </c>
      <c r="D91" s="27" t="s">
        <v>184</v>
      </c>
      <c r="E91" s="16" t="s">
        <v>57</v>
      </c>
    </row>
    <row r="92" spans="1:5" x14ac:dyDescent="0.3">
      <c r="A92" s="16" t="s">
        <v>133</v>
      </c>
      <c r="B92" s="25" t="s">
        <v>134</v>
      </c>
      <c r="C92" s="27">
        <f>AVERAGE(Quest.Dustin!H78,Quest.Undici!H78,Quest.Erica!H78,Quest.MrClark!H45)</f>
        <v>3.5</v>
      </c>
      <c r="D92" s="27" t="s">
        <v>183</v>
      </c>
    </row>
    <row r="93" spans="1:5" x14ac:dyDescent="0.3">
      <c r="A93" s="19"/>
      <c r="B93" s="14"/>
      <c r="C93" s="28">
        <f>AVERAGE(C92)</f>
        <v>3.5</v>
      </c>
      <c r="D93" s="27" t="s">
        <v>184</v>
      </c>
      <c r="E93" s="16" t="s">
        <v>30</v>
      </c>
    </row>
    <row r="94" spans="1:5" x14ac:dyDescent="0.3">
      <c r="A94" s="16" t="s">
        <v>135</v>
      </c>
      <c r="B94" s="25" t="s">
        <v>136</v>
      </c>
      <c r="C94" s="27">
        <f>AVERAGE(Quest.Dustin!H80,Quest.Undici!H80,Quest.Erica!H80,Quest.MrClark!H47)</f>
        <v>3</v>
      </c>
      <c r="D94" s="27" t="s">
        <v>183</v>
      </c>
    </row>
    <row r="95" spans="1:5" x14ac:dyDescent="0.3">
      <c r="A95" s="19"/>
      <c r="B95" s="24"/>
      <c r="C95" s="28">
        <f>AVERAGE(C94)</f>
        <v>3</v>
      </c>
      <c r="D95" s="27" t="s">
        <v>184</v>
      </c>
      <c r="E95" s="16" t="s">
        <v>44</v>
      </c>
    </row>
    <row r="96" spans="1:5" x14ac:dyDescent="0.3">
      <c r="A96" s="16" t="s">
        <v>137</v>
      </c>
      <c r="B96" s="25" t="s">
        <v>138</v>
      </c>
      <c r="C96" s="27">
        <f>AVERAGE(Quest.Dustin!H82,Quest.Undici!H82,Quest.Erica!H82,Quest.MrClark!H49)</f>
        <v>3.5</v>
      </c>
      <c r="D96" s="27" t="s">
        <v>183</v>
      </c>
    </row>
    <row r="97" spans="1:5" x14ac:dyDescent="0.3">
      <c r="A97" s="16" t="s">
        <v>139</v>
      </c>
      <c r="B97" s="25" t="s">
        <v>140</v>
      </c>
      <c r="C97" s="27">
        <f>AVERAGE(Quest.Dustin!H83,Quest.Undici!H83,Quest.Erica!H83,Quest.MrClark!H50)</f>
        <v>3.25</v>
      </c>
      <c r="D97" s="27" t="s">
        <v>183</v>
      </c>
    </row>
    <row r="98" spans="1:5" x14ac:dyDescent="0.3">
      <c r="A98" s="19"/>
      <c r="B98" s="24"/>
      <c r="C98" s="28">
        <f>AVERAGE(C96:C97)</f>
        <v>3.375</v>
      </c>
      <c r="D98" s="27" t="s">
        <v>184</v>
      </c>
      <c r="E98" s="16" t="s">
        <v>76</v>
      </c>
    </row>
    <row r="99" spans="1:5" x14ac:dyDescent="0.3">
      <c r="A99" s="16" t="s">
        <v>141</v>
      </c>
      <c r="B99" s="25" t="s">
        <v>142</v>
      </c>
      <c r="C99" s="27">
        <f>AVERAGE(Quest.Dustin!H85,Quest.Undici!H85,Quest.Erica!H85,Quest.MrClark!H52)</f>
        <v>4.25</v>
      </c>
      <c r="D99" s="27" t="s">
        <v>183</v>
      </c>
    </row>
    <row r="100" spans="1:5" x14ac:dyDescent="0.3">
      <c r="A100" s="16" t="s">
        <v>143</v>
      </c>
      <c r="B100" s="25" t="s">
        <v>144</v>
      </c>
      <c r="C100" s="27">
        <f>AVERAGE(Quest.Dustin!H86,Quest.Undici!H86,Quest.Erica!H86,Quest.MrClark!H53)</f>
        <v>4.25</v>
      </c>
      <c r="D100" s="27" t="s">
        <v>183</v>
      </c>
    </row>
    <row r="101" spans="1:5" x14ac:dyDescent="0.3">
      <c r="A101" s="19"/>
      <c r="B101" s="24"/>
      <c r="C101" s="28">
        <f>AVERAGE(C99:C100)</f>
        <v>4.25</v>
      </c>
      <c r="D101" s="27" t="s">
        <v>184</v>
      </c>
      <c r="E101" s="16" t="s">
        <v>57</v>
      </c>
    </row>
    <row r="102" spans="1:5" x14ac:dyDescent="0.3">
      <c r="A102" s="16" t="s">
        <v>175</v>
      </c>
      <c r="B102" s="25" t="s">
        <v>176</v>
      </c>
      <c r="C102" s="27">
        <f>AVERAGE(Quest.Joyce!H3)</f>
        <v>3</v>
      </c>
      <c r="D102" s="27" t="s">
        <v>183</v>
      </c>
    </row>
    <row r="103" spans="1:5" x14ac:dyDescent="0.3">
      <c r="A103" s="16" t="s">
        <v>177</v>
      </c>
      <c r="B103" s="25" t="s">
        <v>178</v>
      </c>
      <c r="C103" s="27">
        <f>AVERAGE(Quest.Joyce!H4)</f>
        <v>2</v>
      </c>
      <c r="D103" s="27" t="s">
        <v>183</v>
      </c>
    </row>
    <row r="104" spans="1:5" x14ac:dyDescent="0.3">
      <c r="A104" s="19"/>
      <c r="B104" s="24"/>
      <c r="C104" s="28">
        <f>AVERAGE(C102:C103)</f>
        <v>2.5</v>
      </c>
      <c r="D104" s="27" t="s">
        <v>184</v>
      </c>
      <c r="E104" s="16" t="s">
        <v>76</v>
      </c>
    </row>
    <row r="105" spans="1:5" x14ac:dyDescent="0.3">
      <c r="A105" s="16" t="s">
        <v>179</v>
      </c>
      <c r="B105" s="25" t="s">
        <v>180</v>
      </c>
      <c r="C105" s="27">
        <f>AVERAGE(Quest.Joyce!H6)</f>
        <v>5</v>
      </c>
      <c r="D105" s="27" t="s">
        <v>183</v>
      </c>
    </row>
    <row r="106" spans="1:5" x14ac:dyDescent="0.3">
      <c r="A106" s="16" t="s">
        <v>181</v>
      </c>
      <c r="B106" s="25" t="s">
        <v>182</v>
      </c>
      <c r="C106" s="27">
        <f>AVERAGE(Quest.Joyce!H7)</f>
        <v>4</v>
      </c>
      <c r="D106" s="27" t="s">
        <v>183</v>
      </c>
    </row>
    <row r="107" spans="1:5" x14ac:dyDescent="0.3">
      <c r="A107" s="19"/>
      <c r="B107" s="24"/>
      <c r="C107" s="28">
        <f>AVERAGE(C105:C106)</f>
        <v>4.5</v>
      </c>
      <c r="D107" s="27" t="s">
        <v>184</v>
      </c>
      <c r="E107" s="16" t="s">
        <v>57</v>
      </c>
    </row>
  </sheetData>
  <conditionalFormatting sqref="A78:A79 A89:A90 A99:A100 A105:A106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tabSelected="1" workbookViewId="0">
      <selection activeCell="E8" sqref="E8"/>
    </sheetView>
  </sheetViews>
  <sheetFormatPr defaultColWidth="11.19921875" defaultRowHeight="15" customHeight="1" x14ac:dyDescent="0.3"/>
  <cols>
    <col min="1" max="1" width="63.69921875" customWidth="1"/>
    <col min="2" max="26" width="8.69921875" customWidth="1"/>
  </cols>
  <sheetData>
    <row r="1" spans="1:5" x14ac:dyDescent="0.3">
      <c r="A1" s="29" t="s">
        <v>185</v>
      </c>
      <c r="B1" s="29" t="s">
        <v>186</v>
      </c>
      <c r="C1" s="29" t="s">
        <v>187</v>
      </c>
      <c r="D1" s="29" t="s">
        <v>188</v>
      </c>
      <c r="E1" s="29" t="s">
        <v>189</v>
      </c>
    </row>
    <row r="2" spans="1:5" x14ac:dyDescent="0.3">
      <c r="A2" s="30" t="s">
        <v>190</v>
      </c>
      <c r="B2" s="31">
        <f>MEDIE!C5</f>
        <v>3</v>
      </c>
      <c r="C2" s="32">
        <f>MEDIE!C8</f>
        <v>1.8333333333333335</v>
      </c>
      <c r="D2" s="33"/>
      <c r="E2" s="33"/>
    </row>
    <row r="3" spans="1:5" x14ac:dyDescent="0.3">
      <c r="A3" s="34" t="s">
        <v>191</v>
      </c>
      <c r="B3" s="35">
        <f>MEDIE!C12</f>
        <v>2.1111111111111112</v>
      </c>
      <c r="C3" s="35">
        <f>MEDIE!C14</f>
        <v>2.6666666666666665</v>
      </c>
      <c r="D3" s="36"/>
      <c r="E3" s="36">
        <f>MEDIE!C17</f>
        <v>4.6666666666666661</v>
      </c>
    </row>
    <row r="4" spans="1:5" x14ac:dyDescent="0.3">
      <c r="A4" s="30" t="s">
        <v>192</v>
      </c>
      <c r="B4" s="31">
        <f>MEDIE!C20</f>
        <v>3.333333333333333</v>
      </c>
      <c r="C4" s="32">
        <f>MEDIE!C23</f>
        <v>2.8333333333333335</v>
      </c>
      <c r="D4" s="31"/>
      <c r="E4" s="31">
        <f>MEDIE!C26</f>
        <v>4.5</v>
      </c>
    </row>
    <row r="5" spans="1:5" x14ac:dyDescent="0.3">
      <c r="A5" s="34" t="s">
        <v>193</v>
      </c>
      <c r="B5" s="36"/>
      <c r="C5" s="36">
        <f>MEDIE!C28</f>
        <v>3.6666666666666665</v>
      </c>
      <c r="D5" s="36">
        <f>MEDIE!C32</f>
        <v>3.1111111111111112</v>
      </c>
      <c r="E5" s="36">
        <f>MEDIE!C36</f>
        <v>4.333333333333333</v>
      </c>
    </row>
    <row r="6" spans="1:5" x14ac:dyDescent="0.3">
      <c r="A6" s="30" t="s">
        <v>194</v>
      </c>
      <c r="B6" s="31"/>
      <c r="C6" s="31">
        <f>MEDIE!C39</f>
        <v>4</v>
      </c>
      <c r="D6" s="31">
        <f>MEDIE!C42</f>
        <v>3.25</v>
      </c>
      <c r="E6" s="31"/>
    </row>
    <row r="7" spans="1:5" x14ac:dyDescent="0.3">
      <c r="A7" s="34" t="s">
        <v>195</v>
      </c>
      <c r="B7" s="35">
        <f>MEDIE!C46</f>
        <v>2.5555555555555558</v>
      </c>
      <c r="C7" s="36"/>
      <c r="D7" s="36"/>
      <c r="E7" s="36">
        <f>MEDIE!C49</f>
        <v>3</v>
      </c>
    </row>
    <row r="8" spans="1:5" x14ac:dyDescent="0.3">
      <c r="A8" s="30" t="s">
        <v>196</v>
      </c>
      <c r="B8" s="31"/>
      <c r="C8" s="31">
        <f>MEDIE!C51</f>
        <v>3</v>
      </c>
      <c r="D8" s="32">
        <f>MEDIE!C54</f>
        <v>2.833333333333333</v>
      </c>
      <c r="E8" s="31">
        <f>MEDIE!C58</f>
        <v>4.5555555555555562</v>
      </c>
    </row>
    <row r="9" spans="1:5" x14ac:dyDescent="0.3">
      <c r="A9" s="34" t="s">
        <v>197</v>
      </c>
      <c r="B9" s="36">
        <f>MEDIE!C61</f>
        <v>3.5</v>
      </c>
      <c r="C9" s="35">
        <f>MEDIE!C63</f>
        <v>1.5</v>
      </c>
      <c r="D9" s="36">
        <f>MEDIE!C66</f>
        <v>4.25</v>
      </c>
      <c r="E9" s="36">
        <f>MEDIE!C69</f>
        <v>4.5</v>
      </c>
    </row>
    <row r="10" spans="1:5" x14ac:dyDescent="0.3">
      <c r="A10" s="30" t="s">
        <v>198</v>
      </c>
      <c r="B10" s="31">
        <f>MEDIE!C72</f>
        <v>4</v>
      </c>
      <c r="C10" s="31">
        <f>MEDIE!C74</f>
        <v>3</v>
      </c>
      <c r="D10" s="32">
        <f>MEDIE!C77</f>
        <v>2.5</v>
      </c>
      <c r="E10" s="31">
        <f>MEDIE!C80</f>
        <v>4.5</v>
      </c>
    </row>
    <row r="11" spans="1:5" x14ac:dyDescent="0.3">
      <c r="A11" s="34" t="s">
        <v>199</v>
      </c>
      <c r="B11" s="36">
        <f>MEDIE!C83</f>
        <v>3.5</v>
      </c>
      <c r="C11" s="36">
        <f>MEDIE!C85</f>
        <v>3</v>
      </c>
      <c r="D11" s="36">
        <f>MEDIE!C88</f>
        <v>3</v>
      </c>
      <c r="E11" s="36">
        <f>MEDIE!C91</f>
        <v>4.5</v>
      </c>
    </row>
    <row r="12" spans="1:5" x14ac:dyDescent="0.3">
      <c r="A12" s="30" t="s">
        <v>200</v>
      </c>
      <c r="B12" s="31">
        <f>MEDIE!C92</f>
        <v>3.5</v>
      </c>
      <c r="C12" s="31">
        <f>MEDIE!C95</f>
        <v>3</v>
      </c>
      <c r="D12" s="31">
        <f>MEDIE!C98</f>
        <v>3.375</v>
      </c>
      <c r="E12" s="31">
        <f>MEDIE!C101</f>
        <v>4.25</v>
      </c>
    </row>
    <row r="13" spans="1:5" x14ac:dyDescent="0.3">
      <c r="A13" s="34" t="s">
        <v>201</v>
      </c>
      <c r="B13" s="36"/>
      <c r="C13" s="36"/>
      <c r="D13" s="35">
        <f>MEDIE!C104</f>
        <v>2.5</v>
      </c>
      <c r="E13" s="36">
        <f>MEDIE!C107</f>
        <v>4.5</v>
      </c>
    </row>
    <row r="14" spans="1:5" x14ac:dyDescent="0.3"/>
    <row r="15" spans="1:5" x14ac:dyDescent="0.3"/>
    <row r="16" spans="1:5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BEHAVIOURABILITY</vt:lpstr>
      <vt:lpstr>Quest.Dustin</vt:lpstr>
      <vt:lpstr>Quest.Undici</vt:lpstr>
      <vt:lpstr>Quest.MrClark</vt:lpstr>
      <vt:lpstr>Quest.Erica</vt:lpstr>
      <vt:lpstr>Quest.Joyce</vt:lpstr>
      <vt:lpstr>MEDIE</vt:lpstr>
      <vt:lpstr>TabRisultati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di Microsoft Office</dc:creator>
  <cp:lastModifiedBy>EMANUELE IOVANE</cp:lastModifiedBy>
  <dcterms:created xsi:type="dcterms:W3CDTF">2017-10-12T15:51:15Z</dcterms:created>
  <dcterms:modified xsi:type="dcterms:W3CDTF">2025-07-03T17:01:19Z</dcterms:modified>
</cp:coreProperties>
</file>