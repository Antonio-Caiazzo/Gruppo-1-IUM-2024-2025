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e_iovane2_studenti_unisa_it/Documents/università/IUM/Progetto/assignment/"/>
    </mc:Choice>
  </mc:AlternateContent>
  <xr:revisionPtr revIDLastSave="1020" documentId="8_{C6D9AFDB-ABDC-4C84-8F4B-3A01511EB9E8}" xr6:coauthVersionLast="47" xr6:coauthVersionMax="47" xr10:uidLastSave="{F726CB34-BD81-43AB-A4A3-42A3C003B567}"/>
  <bookViews>
    <workbookView xWindow="-108" yWindow="-108" windowWidth="23256" windowHeight="12456" firstSheet="4" activeTab="12" xr2:uid="{00000000-000D-0000-FFFF-FFFF00000000}"/>
  </bookViews>
  <sheets>
    <sheet name="BEHAVIOURABILITY" sheetId="1" r:id="rId1"/>
    <sheet name="Utente1" sheetId="2" r:id="rId2"/>
    <sheet name="Utente2" sheetId="11" r:id="rId3"/>
    <sheet name="Utente3" sheetId="12" r:id="rId4"/>
    <sheet name="Utente4" sheetId="13" r:id="rId5"/>
    <sheet name="Utente5" sheetId="14" r:id="rId6"/>
    <sheet name="Utente6" sheetId="15" r:id="rId7"/>
    <sheet name="Utente7" sheetId="18" r:id="rId8"/>
    <sheet name="Utente8" sheetId="17" r:id="rId9"/>
    <sheet name="Utente9" sheetId="16" r:id="rId10"/>
    <sheet name="Utente10" sheetId="4" r:id="rId11"/>
    <sheet name="MEDIE" sheetId="7" r:id="rId12"/>
    <sheet name="TabRisultati" sheetId="8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8" l="1"/>
  <c r="D12" i="8"/>
  <c r="C12" i="8"/>
  <c r="B12" i="8"/>
  <c r="E11" i="8"/>
  <c r="D11" i="8"/>
  <c r="C11" i="8"/>
  <c r="B11" i="8"/>
  <c r="D10" i="8"/>
  <c r="E10" i="8"/>
  <c r="C10" i="8"/>
  <c r="B10" i="8"/>
  <c r="E9" i="8"/>
  <c r="D9" i="8"/>
  <c r="C9" i="8"/>
  <c r="B9" i="8"/>
  <c r="E7" i="8"/>
  <c r="B7" i="8"/>
  <c r="D6" i="8"/>
  <c r="C6" i="8"/>
  <c r="E5" i="8"/>
  <c r="D5" i="8"/>
  <c r="C5" i="8"/>
  <c r="E4" i="8"/>
  <c r="C4" i="8"/>
  <c r="B4" i="8"/>
  <c r="E3" i="8"/>
  <c r="C3" i="8"/>
  <c r="B3" i="8"/>
  <c r="C2" i="8"/>
  <c r="B2" i="8"/>
  <c r="C79" i="7"/>
  <c r="C76" i="7"/>
  <c r="C67" i="7"/>
  <c r="C71" i="7"/>
  <c r="C65" i="7"/>
  <c r="C61" i="7"/>
  <c r="C58" i="7"/>
  <c r="C53" i="7"/>
  <c r="C48" i="7"/>
  <c r="C43" i="7"/>
  <c r="C40" i="7"/>
  <c r="C36" i="7"/>
  <c r="C33" i="7"/>
  <c r="C29" i="7"/>
  <c r="C26" i="7"/>
  <c r="C19" i="7"/>
  <c r="C14" i="7"/>
  <c r="C87" i="7"/>
  <c r="C85" i="7"/>
  <c r="C83" i="7"/>
  <c r="C81" i="7"/>
  <c r="C73" i="7"/>
  <c r="C55" i="7"/>
  <c r="C50" i="7"/>
  <c r="C45" i="7"/>
  <c r="C23" i="7"/>
  <c r="C21" i="7"/>
  <c r="C11" i="7"/>
  <c r="C9" i="7"/>
  <c r="C6" i="7"/>
  <c r="C4" i="7"/>
  <c r="C5" i="7"/>
  <c r="C82" i="7"/>
  <c r="C84" i="7"/>
  <c r="C86" i="7"/>
  <c r="C80" i="7"/>
  <c r="C74" i="7"/>
  <c r="C75" i="7"/>
  <c r="C77" i="7"/>
  <c r="C78" i="7"/>
  <c r="C72" i="7"/>
  <c r="C68" i="7"/>
  <c r="C69" i="7"/>
  <c r="C70" i="7"/>
  <c r="C57" i="7"/>
  <c r="C59" i="7"/>
  <c r="C60" i="7"/>
  <c r="C62" i="7"/>
  <c r="C63" i="7"/>
  <c r="C64" i="7"/>
  <c r="C66" i="7"/>
  <c r="C56" i="7"/>
  <c r="C54" i="7"/>
  <c r="C52" i="7"/>
  <c r="C47" i="7"/>
  <c r="C49" i="7"/>
  <c r="C51" i="7"/>
  <c r="C46" i="7"/>
  <c r="C42" i="7"/>
  <c r="C44" i="7"/>
  <c r="C41" i="7"/>
  <c r="C35" i="7"/>
  <c r="C37" i="7"/>
  <c r="C38" i="7"/>
  <c r="C39" i="7"/>
  <c r="C34" i="7"/>
  <c r="C32" i="7"/>
  <c r="C27" i="7"/>
  <c r="C28" i="7"/>
  <c r="C30" i="7"/>
  <c r="C31" i="7"/>
  <c r="C25" i="7"/>
  <c r="C24" i="7"/>
  <c r="C20" i="7"/>
  <c r="C22" i="7"/>
  <c r="C16" i="7"/>
  <c r="C17" i="7"/>
  <c r="C18" i="7"/>
  <c r="C15" i="7"/>
  <c r="C12" i="7"/>
  <c r="C13" i="7"/>
  <c r="C10" i="7"/>
  <c r="C8" i="7"/>
  <c r="C7" i="7"/>
  <c r="C3" i="7"/>
  <c r="C2" i="7"/>
  <c r="H41" i="4"/>
  <c r="H40" i="4"/>
  <c r="H38" i="4"/>
  <c r="H37" i="4"/>
  <c r="H35" i="4"/>
  <c r="H33" i="4"/>
  <c r="H32" i="4"/>
  <c r="H31" i="4"/>
  <c r="H28" i="4"/>
  <c r="H26" i="4"/>
  <c r="H25" i="4"/>
  <c r="H24" i="4"/>
  <c r="H22" i="4"/>
  <c r="H21" i="4"/>
  <c r="H19" i="4"/>
  <c r="H18" i="4"/>
  <c r="H15" i="4"/>
  <c r="H13" i="4"/>
  <c r="H11" i="4"/>
  <c r="H9" i="4"/>
  <c r="H8" i="4"/>
  <c r="H5" i="4"/>
  <c r="H3" i="4"/>
  <c r="H2" i="4"/>
  <c r="H41" i="16"/>
  <c r="H40" i="16"/>
  <c r="H38" i="16"/>
  <c r="H37" i="16"/>
  <c r="H35" i="16"/>
  <c r="H33" i="16"/>
  <c r="H32" i="16"/>
  <c r="H31" i="16"/>
  <c r="H28" i="16"/>
  <c r="H26" i="16"/>
  <c r="H25" i="16"/>
  <c r="H24" i="16"/>
  <c r="H22" i="16"/>
  <c r="H21" i="16"/>
  <c r="H19" i="16"/>
  <c r="H18" i="16"/>
  <c r="H15" i="16"/>
  <c r="H13" i="16"/>
  <c r="H11" i="16"/>
  <c r="H9" i="16"/>
  <c r="H8" i="16"/>
  <c r="H5" i="16"/>
  <c r="H3" i="16"/>
  <c r="H2" i="16"/>
  <c r="H41" i="17"/>
  <c r="H40" i="17"/>
  <c r="H38" i="17"/>
  <c r="H37" i="17"/>
  <c r="H35" i="17"/>
  <c r="H33" i="17"/>
  <c r="H32" i="17"/>
  <c r="H31" i="17"/>
  <c r="H28" i="17"/>
  <c r="H26" i="17"/>
  <c r="H25" i="17"/>
  <c r="H24" i="17"/>
  <c r="H22" i="17"/>
  <c r="H21" i="17"/>
  <c r="H19" i="17"/>
  <c r="H18" i="17"/>
  <c r="H15" i="17"/>
  <c r="H13" i="17"/>
  <c r="H11" i="17"/>
  <c r="H9" i="17"/>
  <c r="H8" i="17"/>
  <c r="H5" i="17"/>
  <c r="H3" i="17"/>
  <c r="H2" i="17"/>
  <c r="H69" i="15"/>
  <c r="H67" i="15"/>
  <c r="H65" i="15"/>
  <c r="H63" i="15"/>
  <c r="H60" i="15"/>
  <c r="H58" i="15"/>
  <c r="H57" i="15"/>
  <c r="H55" i="15"/>
  <c r="H53" i="15"/>
  <c r="H52" i="15"/>
  <c r="H49" i="15"/>
  <c r="H47" i="15"/>
  <c r="H46" i="15"/>
  <c r="H43" i="15"/>
  <c r="H42" i="15"/>
  <c r="H41" i="15"/>
  <c r="H39" i="15"/>
  <c r="H38" i="15"/>
  <c r="H35" i="15"/>
  <c r="H34" i="15"/>
  <c r="H33" i="15"/>
  <c r="H31" i="15"/>
  <c r="H30" i="15"/>
  <c r="H28" i="15"/>
  <c r="H27" i="15"/>
  <c r="H24" i="15"/>
  <c r="H22" i="15"/>
  <c r="H20" i="15"/>
  <c r="H19" i="15"/>
  <c r="H18" i="15"/>
  <c r="H17" i="15"/>
  <c r="H14" i="15"/>
  <c r="H13" i="15"/>
  <c r="H11" i="15"/>
  <c r="H9" i="15"/>
  <c r="H8" i="15"/>
  <c r="H5" i="15"/>
  <c r="H3" i="15"/>
  <c r="H2" i="15"/>
  <c r="H69" i="14"/>
  <c r="H67" i="14"/>
  <c r="H65" i="14"/>
  <c r="H63" i="14"/>
  <c r="H60" i="14"/>
  <c r="H58" i="14"/>
  <c r="H57" i="14"/>
  <c r="H55" i="14"/>
  <c r="H53" i="14"/>
  <c r="H52" i="14"/>
  <c r="H49" i="14"/>
  <c r="H47" i="14"/>
  <c r="H46" i="14"/>
  <c r="H43" i="14"/>
  <c r="H42" i="14"/>
  <c r="H41" i="14"/>
  <c r="H39" i="14"/>
  <c r="H38" i="14"/>
  <c r="H35" i="14"/>
  <c r="H34" i="14"/>
  <c r="H33" i="14"/>
  <c r="H31" i="14"/>
  <c r="H30" i="14"/>
  <c r="H28" i="14"/>
  <c r="H27" i="14"/>
  <c r="H24" i="14"/>
  <c r="H22" i="14"/>
  <c r="H20" i="14"/>
  <c r="H19" i="14"/>
  <c r="H18" i="14"/>
  <c r="H17" i="14"/>
  <c r="H14" i="14"/>
  <c r="H13" i="14"/>
  <c r="H11" i="14"/>
  <c r="H9" i="14"/>
  <c r="H8" i="14"/>
  <c r="H5" i="14"/>
  <c r="H3" i="14"/>
  <c r="H2" i="14"/>
  <c r="H57" i="13"/>
  <c r="H28" i="13"/>
  <c r="H20" i="13"/>
  <c r="H17" i="13"/>
  <c r="H8" i="13"/>
  <c r="H57" i="12"/>
  <c r="H28" i="12"/>
  <c r="H20" i="12"/>
  <c r="H17" i="12"/>
  <c r="H8" i="12"/>
  <c r="H57" i="11"/>
  <c r="H28" i="11"/>
  <c r="H20" i="11"/>
  <c r="H17" i="11"/>
  <c r="H8" i="11"/>
  <c r="H41" i="18"/>
  <c r="H40" i="18"/>
  <c r="H38" i="18"/>
  <c r="H37" i="18"/>
  <c r="H35" i="18"/>
  <c r="H33" i="18"/>
  <c r="H32" i="18"/>
  <c r="H31" i="18"/>
  <c r="H28" i="18"/>
  <c r="H26" i="18"/>
  <c r="H25" i="18"/>
  <c r="H24" i="18"/>
  <c r="H22" i="18"/>
  <c r="H21" i="18"/>
  <c r="H19" i="18"/>
  <c r="H18" i="18"/>
  <c r="H15" i="18"/>
  <c r="H13" i="18"/>
  <c r="H11" i="18"/>
  <c r="H9" i="18"/>
  <c r="H8" i="18"/>
  <c r="H5" i="18"/>
  <c r="H3" i="18"/>
  <c r="H2" i="18"/>
  <c r="H69" i="13"/>
  <c r="H67" i="13"/>
  <c r="H65" i="13"/>
  <c r="H63" i="13"/>
  <c r="H60" i="13"/>
  <c r="H58" i="13"/>
  <c r="H55" i="13"/>
  <c r="H53" i="13"/>
  <c r="H52" i="13"/>
  <c r="H49" i="13"/>
  <c r="H47" i="13"/>
  <c r="H46" i="13"/>
  <c r="H43" i="13"/>
  <c r="H42" i="13"/>
  <c r="H41" i="13"/>
  <c r="H39" i="13"/>
  <c r="H38" i="13"/>
  <c r="H35" i="13"/>
  <c r="H34" i="13"/>
  <c r="H33" i="13"/>
  <c r="H31" i="13"/>
  <c r="H30" i="13"/>
  <c r="H27" i="13"/>
  <c r="H24" i="13"/>
  <c r="H22" i="13"/>
  <c r="H19" i="13"/>
  <c r="H18" i="13"/>
  <c r="H14" i="13"/>
  <c r="H13" i="13"/>
  <c r="H11" i="13"/>
  <c r="H9" i="13"/>
  <c r="H5" i="13"/>
  <c r="H3" i="13"/>
  <c r="H2" i="13"/>
  <c r="H69" i="12"/>
  <c r="H67" i="12"/>
  <c r="H65" i="12"/>
  <c r="H63" i="12"/>
  <c r="H60" i="12"/>
  <c r="H58" i="12"/>
  <c r="H55" i="12"/>
  <c r="H53" i="12"/>
  <c r="H52" i="12"/>
  <c r="H49" i="12"/>
  <c r="H47" i="12"/>
  <c r="H46" i="12"/>
  <c r="H43" i="12"/>
  <c r="H42" i="12"/>
  <c r="H41" i="12"/>
  <c r="H39" i="12"/>
  <c r="H38" i="12"/>
  <c r="H35" i="12"/>
  <c r="H34" i="12"/>
  <c r="H33" i="12"/>
  <c r="H31" i="12"/>
  <c r="H30" i="12"/>
  <c r="H27" i="12"/>
  <c r="H24" i="12"/>
  <c r="H22" i="12"/>
  <c r="H19" i="12"/>
  <c r="H18" i="12"/>
  <c r="H14" i="12"/>
  <c r="H13" i="12"/>
  <c r="H11" i="12"/>
  <c r="H9" i="12"/>
  <c r="H5" i="12"/>
  <c r="H3" i="12"/>
  <c r="H2" i="12"/>
  <c r="H69" i="2"/>
  <c r="H67" i="2"/>
  <c r="H65" i="2"/>
  <c r="H63" i="2"/>
  <c r="H60" i="2"/>
  <c r="H58" i="2"/>
  <c r="H55" i="2"/>
  <c r="H53" i="2"/>
  <c r="H52" i="2"/>
  <c r="H49" i="2"/>
  <c r="H47" i="2"/>
  <c r="H46" i="2"/>
  <c r="H43" i="2"/>
  <c r="H42" i="2"/>
  <c r="H41" i="2"/>
  <c r="H39" i="2"/>
  <c r="H38" i="2"/>
  <c r="H35" i="2"/>
  <c r="H34" i="2"/>
  <c r="H33" i="2"/>
  <c r="H31" i="2"/>
  <c r="H30" i="2"/>
  <c r="H27" i="2"/>
  <c r="H24" i="2"/>
  <c r="H22" i="2"/>
  <c r="H19" i="2"/>
  <c r="H18" i="2"/>
  <c r="H14" i="2"/>
  <c r="H13" i="2"/>
  <c r="H11" i="2"/>
  <c r="H9" i="2"/>
  <c r="H5" i="2"/>
  <c r="H3" i="2"/>
  <c r="H2" i="2"/>
  <c r="H27" i="11"/>
  <c r="H43" i="11"/>
  <c r="H30" i="11"/>
  <c r="H31" i="11"/>
  <c r="H33" i="11"/>
  <c r="H34" i="11"/>
  <c r="H35" i="11"/>
  <c r="H38" i="11"/>
  <c r="H39" i="11"/>
  <c r="H41" i="11"/>
  <c r="H42" i="11"/>
  <c r="H46" i="11"/>
  <c r="H47" i="11"/>
  <c r="H49" i="11"/>
  <c r="H52" i="11"/>
  <c r="H53" i="11"/>
  <c r="H55" i="11"/>
  <c r="H58" i="11"/>
  <c r="H60" i="11"/>
  <c r="H63" i="11"/>
  <c r="H65" i="11"/>
  <c r="H67" i="11"/>
  <c r="H69" i="11"/>
  <c r="H18" i="11"/>
  <c r="H19" i="11"/>
  <c r="H22" i="11"/>
  <c r="H24" i="11"/>
  <c r="H9" i="11"/>
  <c r="H11" i="11"/>
  <c r="H13" i="11"/>
  <c r="H14" i="11"/>
  <c r="H5" i="11"/>
  <c r="H3" i="11"/>
  <c r="H2" i="11"/>
</calcChain>
</file>

<file path=xl/sharedStrings.xml><?xml version="1.0" encoding="utf-8"?>
<sst xmlns="http://schemas.openxmlformats.org/spreadsheetml/2006/main" count="1529" uniqueCount="182">
  <si>
    <t>TASK</t>
  </si>
  <si>
    <t>Decision Making</t>
  </si>
  <si>
    <t xml:space="preserve">Self-Management </t>
  </si>
  <si>
    <t xml:space="preserve">Communication </t>
  </si>
  <si>
    <t>Engagement</t>
  </si>
  <si>
    <t>TASK T1 Selezionare un periodo storico</t>
  </si>
  <si>
    <t>SE, K&amp;S</t>
  </si>
  <si>
    <t>TASK T2 Avviare una conversazione</t>
  </si>
  <si>
    <t>SE, MOT</t>
  </si>
  <si>
    <t>MOT</t>
  </si>
  <si>
    <t>TASK T3 Condurre una conversazione con un personaggio</t>
  </si>
  <si>
    <t>MOT, K&amp;S</t>
  </si>
  <si>
    <t>TASK T4 Partecipare a quiz</t>
  </si>
  <si>
    <t>K&amp;S</t>
  </si>
  <si>
    <t>PC, MOT</t>
  </si>
  <si>
    <t>TASK T5 Salvare o rivedere una conversazione utile</t>
  </si>
  <si>
    <t>PC, K&amp;S</t>
  </si>
  <si>
    <t>TASK T6 Condividere una conversazione con compagni o insegnanti</t>
  </si>
  <si>
    <t>TASK T7 Ricevere feedback e premi virtuali</t>
  </si>
  <si>
    <t>TASK T8 Visualizzare le domande assegnate dall'insegnante</t>
  </si>
  <si>
    <t>TASK T9 Creare una classe virtuale</t>
  </si>
  <si>
    <t>TASK T10 Assegnare domande alla classe</t>
  </si>
  <si>
    <t>PC</t>
  </si>
  <si>
    <t>TASK T11 Partecipare ad una classe virtuale</t>
  </si>
  <si>
    <t>TASK T12 Seguire lo studio del figlio</t>
  </si>
  <si>
    <t>Legenda</t>
  </si>
  <si>
    <t>SE = Self-Efficacy</t>
  </si>
  <si>
    <t>K&amp;S = Knowledge &amp; Skills</t>
  </si>
  <si>
    <t>PC = Personal Control</t>
  </si>
  <si>
    <t>MOT = Motivation</t>
  </si>
  <si>
    <t>Self Efficacy</t>
  </si>
  <si>
    <t>Scarso</t>
  </si>
  <si>
    <t>Sufficiente</t>
  </si>
  <si>
    <t>Buono</t>
  </si>
  <si>
    <t>Molto Buono</t>
  </si>
  <si>
    <t>Eccellente</t>
  </si>
  <si>
    <t>Valore</t>
  </si>
  <si>
    <t>T1_SE1</t>
  </si>
  <si>
    <t>x</t>
  </si>
  <si>
    <t>T1_SE2</t>
  </si>
  <si>
    <t>L'icona o la miniatura del periodo storico ti ha aiutato a selezionarlo con facilità?</t>
  </si>
  <si>
    <t>Knowledge&amp;Skills</t>
  </si>
  <si>
    <t>T1_KS1</t>
  </si>
  <si>
    <t>T2_SE1</t>
  </si>
  <si>
    <t>Ti sei sentito sicuro nel cliccare sul pulsante 'Avvia conversazione' per parlare con il personaggio?</t>
  </si>
  <si>
    <t>T2_SE2</t>
  </si>
  <si>
    <t>T2_KS1</t>
  </si>
  <si>
    <t>Motivation</t>
  </si>
  <si>
    <t>T2_MOT1</t>
  </si>
  <si>
    <t>T2_MOT2</t>
  </si>
  <si>
    <t>T3_SE1</t>
  </si>
  <si>
    <t>T3_SE2</t>
  </si>
  <si>
    <t>Ti è stato facile capire quale pulsante premere per far parlare di nuovo il personaggio?</t>
  </si>
  <si>
    <t>T3_KS1</t>
  </si>
  <si>
    <t>T3_MOT1</t>
  </si>
  <si>
    <t>I feedback del personaggio (es. emoji, suoni) ti hanno motivato a continuare la conversazione?</t>
  </si>
  <si>
    <t>T4_KS1</t>
  </si>
  <si>
    <t>Sai come usare il pulsante 'Prossima domanda' per navigare nel quiz?</t>
  </si>
  <si>
    <t>Personal Control</t>
  </si>
  <si>
    <t>T4_PC1</t>
  </si>
  <si>
    <t>T4_PC2</t>
  </si>
  <si>
    <t>T4_MOT1</t>
  </si>
  <si>
    <t>La barra di progresso del quiz ti ha motivato a completare tutte le domande?</t>
  </si>
  <si>
    <t>T4_MOT2</t>
  </si>
  <si>
    <t>T4_MOT3</t>
  </si>
  <si>
    <t>T5_KS1</t>
  </si>
  <si>
    <t>Sai come etichettare o rinominare le conversazioni salvate per ritrovarle più facilmente?</t>
  </si>
  <si>
    <t>T5_KS2</t>
  </si>
  <si>
    <t>T5_PC1</t>
  </si>
  <si>
    <t>T5_PC2</t>
  </si>
  <si>
    <t>T6_SE1</t>
  </si>
  <si>
    <t>Sei sicuro di saper usare il pulsante 'Condividi' per inviare la conversazione ai compagni?</t>
  </si>
  <si>
    <t>T6_SE2</t>
  </si>
  <si>
    <t>T6_MOT1</t>
  </si>
  <si>
    <t>T8_SE1</t>
  </si>
  <si>
    <t>T8_SE2</t>
  </si>
  <si>
    <t>T8_KS1</t>
  </si>
  <si>
    <t>T8_PC1</t>
  </si>
  <si>
    <t>T8_PC2</t>
  </si>
  <si>
    <t>T8_MOT1</t>
  </si>
  <si>
    <t>T11_SE1</t>
  </si>
  <si>
    <t>T11_KS1</t>
  </si>
  <si>
    <t>T11_PC1</t>
  </si>
  <si>
    <t>T11_MOT1</t>
  </si>
  <si>
    <t>T9_SE1</t>
  </si>
  <si>
    <t>T9_SE2</t>
  </si>
  <si>
    <t>T9_KS1</t>
  </si>
  <si>
    <t>T9_PC1</t>
  </si>
  <si>
    <t>Hai la possibilità concreta di decidere tempi, modalità e impostazioni delle attività nella tua classe secondo il tuo metodo di lavoro?</t>
  </si>
  <si>
    <t>T9_PC2</t>
  </si>
  <si>
    <t>Riesci a gestire liberamente l’attivazione, la sospensione o la chiusura di attività e progetti nella tua classe?</t>
  </si>
  <si>
    <t>T9_MOT1</t>
  </si>
  <si>
    <t>Avere il pieno controllo sull’organizzazione delle attività didattiche ti fa sentire più motivato e sereno nel tuo lavoro?</t>
  </si>
  <si>
    <t>T10_SE1</t>
  </si>
  <si>
    <t>T10_SE2</t>
  </si>
  <si>
    <t>T10_KS1</t>
  </si>
  <si>
    <t>T10_PC1</t>
  </si>
  <si>
    <t>Ti senti libero di scegliere quali domande proporre alla classe e in quali momenti farlo?</t>
  </si>
  <si>
    <t>T10_PC2</t>
  </si>
  <si>
    <t>Quanto è semplice per te modificare o adattare una domanda già proposta, se le esigenze della classe cambiano?</t>
  </si>
  <si>
    <t>T10_MOT1</t>
  </si>
  <si>
    <t>T10_MOT2</t>
  </si>
  <si>
    <t>Quanto è importante per te poter adattare le domande o le attività ai diversi bisogni dei tuoi studenti?</t>
  </si>
  <si>
    <t>MEDIA DELLE RISPOSTE</t>
  </si>
  <si>
    <t>MEDIA TRA I VALORI MEDI RELATIVI A QUELL'ABILITA'</t>
  </si>
  <si>
    <t>Task</t>
  </si>
  <si>
    <t>ISE</t>
  </si>
  <si>
    <t xml:space="preserve">IKS </t>
  </si>
  <si>
    <t xml:space="preserve">IPC </t>
  </si>
  <si>
    <t>IMOT</t>
  </si>
  <si>
    <t>T1 - Selezionare un periodo storico</t>
  </si>
  <si>
    <t>T2 - Avviare una conversazione</t>
  </si>
  <si>
    <t>T3 - Condurre una conversazione con un personaggio</t>
  </si>
  <si>
    <t>T4 - Partecipare a quiz</t>
  </si>
  <si>
    <t>T5 - Salvare o rivedere una conversazione utile</t>
  </si>
  <si>
    <t>T6 - Condividere una conversazione con compagni o insegnanti</t>
  </si>
  <si>
    <t>T7 - Ricevere feedback e premi virtuali</t>
  </si>
  <si>
    <t>T8 - Visualizzare le domande assegnate dall'insegnante</t>
  </si>
  <si>
    <t>T9 - Creare una classe virtuale</t>
  </si>
  <si>
    <t>T10 - Assegnare domande alla classe</t>
  </si>
  <si>
    <t>T11 - Partecipare ad una classe virtuale</t>
  </si>
  <si>
    <t>Ti sei sentito più sicuro nel scegliere un periodo storico usando le anteprime con immagine?</t>
  </si>
  <si>
    <t>Il pulsante 'microfono' era chiaro?</t>
  </si>
  <si>
    <t>Sei riuscito a distinguere rapidamente i periodi storici grazie alle immagini e alle etichette?</t>
  </si>
  <si>
    <t>Sai come avviare una conversazione?</t>
  </si>
  <si>
    <t>Quanto ti ha motivato la lettura della biografia del personaggio?</t>
  </si>
  <si>
    <t>Quanto la biografia ti ha permesso di scegliere di avviare la conversazione?</t>
  </si>
  <si>
    <t>L'immagine del personaggio ti ha motivato nell'avviare la conversazione?</t>
  </si>
  <si>
    <t>Durante la conversazione, ti sei sentito sicuro nell'inviare messaggi usando il campo di testo?</t>
  </si>
  <si>
    <t>T3_SE3</t>
  </si>
  <si>
    <t>T3_SE4</t>
  </si>
  <si>
    <t>Durante la conversazione, ti sei sentito sicuro nell'inviare messaggi usando la registrazione vocale?</t>
  </si>
  <si>
    <t>Quanto sei in grado di passare dalla tastiera alla dettatura vocale quando conversi con il personaggio?</t>
  </si>
  <si>
    <t>T4_KS2</t>
  </si>
  <si>
    <t>Hai avuto la percezione di poter uscire dal quiz se necessario usando l'icona appropriata?</t>
  </si>
  <si>
    <t>Hai avuto la percezione di star migliorando eseguendo il quiz?</t>
  </si>
  <si>
    <t>Sai quante domande restanti ci sono, mentre esegui un quiz?</t>
  </si>
  <si>
    <t>I feedback ottenuti al controllo di ogni risposta ti hanno motivato nel continuare il quiz?</t>
  </si>
  <si>
    <t>I feedback al termine del quiz, ti hanno motivato a iniziare un nuovo quiz?</t>
  </si>
  <si>
    <t>Comprendi il significato delle icone per il salvataggio e la condivisione di una conversazione?</t>
  </si>
  <si>
    <t>Ti senti libero di eliminare una conversazione salvata tramite il menu contestuale?</t>
  </si>
  <si>
    <t>Ti senti in grado di scegliere quali conversazioni siano utili da salvare o condividere?</t>
  </si>
  <si>
    <t>T5_PC3</t>
  </si>
  <si>
    <t>Il salvataggio di una conversazione ti è sembrato evidente?</t>
  </si>
  <si>
    <t>Poter condividere una conversazione in un secondo momento, ti ha reso più sicuro nell'individuare una conversazione importante?</t>
  </si>
  <si>
    <t>Vedere le altre conversazioni condivise, ti hanno reso più propenso a collaborare con i compagni?</t>
  </si>
  <si>
    <t>Ti sei sentito sicuro nel aprire la scheda 'Domande' per vedere le domande assegnate dall'insegnante?</t>
  </si>
  <si>
    <t>L'etichetta di nuove domande ti ha aiutato a individuarle subito?</t>
  </si>
  <si>
    <t>Sai come individuare le domande da svolgere nella lista dei compiti?</t>
  </si>
  <si>
    <t>L'invio non automatico della domanda, ti ha dato maggior senso di controllo?</t>
  </si>
  <si>
    <t>Il feedback ricevuto dopo aver completato una domanda, ti ha motivato nel conversare con un altro personaggio?</t>
  </si>
  <si>
    <t>Quanto ti ha dato senso di controllo la possibilità d ipoter approfondire una domanda?</t>
  </si>
  <si>
    <t>Ti sei sentito sicuro nella registrazione al sistema e alla classe virtuale?</t>
  </si>
  <si>
    <t>Sai come capire in che classe virtuale ti trovi?</t>
  </si>
  <si>
    <t>Riesci a sentirti meno a disagio partecipando alla classe virtuale?</t>
  </si>
  <si>
    <t>Quanto ti sei sentito coinvolto alla registrazione ad una nuova classe virtuale?</t>
  </si>
  <si>
    <t>Hai ritrovato facilmente la sezione per controllare le conversazioni di una classe?</t>
  </si>
  <si>
    <t>La possibilità d iselezionare tra le diverse classi, ti ha velocizzato la revisione di una conversazione?</t>
  </si>
  <si>
    <t>Sei stato in grado di capire quale studente ha condiviso una conversazione?</t>
  </si>
  <si>
    <t>Scegliere prima una classe e poi assegnare una domanda ti è sembrato efficace?</t>
  </si>
  <si>
    <t>Sai come filtrare efficacemente le domande?</t>
  </si>
  <si>
    <t>Quanto ti è sembrato facile poter annullare la creazione di una domanda, o eliminarla?</t>
  </si>
  <si>
    <t>Ti senti sicuro nel gestire in autonomia la creazione di una classe?</t>
  </si>
  <si>
    <t>Quanto sono chiare le informazioni negessarie per la creazione di una classe?</t>
  </si>
  <si>
    <t>Quando organizzi una classe, trovi facilmente le indicazioni richieste?</t>
  </si>
  <si>
    <t>T9_KS2</t>
  </si>
  <si>
    <t>Ti è facile visualizzare le informazioni sui partecipanti ad una classe?</t>
  </si>
  <si>
    <t>Hai la percezione di poter creare e gestire una classe in autonomia?</t>
  </si>
  <si>
    <t>Riesci a gestire liberamente gli studenti di una classe?</t>
  </si>
  <si>
    <t>Riesci a gestire liberamente le varie classi che hai creato?</t>
  </si>
  <si>
    <t>T9_PC3</t>
  </si>
  <si>
    <t>Quanto ti è sembrato facile visualizzare una nuova domanda?</t>
  </si>
  <si>
    <t>La possibilità di poter cercare e filtrare le diverse domande per periodo storico, ti motiva ad assegnarne delle nuove?</t>
  </si>
  <si>
    <t>Ti senti sicuro nell’assegnare domande alla classe ?</t>
  </si>
  <si>
    <t>Quando decidi di proporre una nuova domanda, le informazioni da inserire ti sono chiare?</t>
  </si>
  <si>
    <t>Ti è facile scegliere il periodo storico di riferimento di una domanda?</t>
  </si>
  <si>
    <t>T10_SE3</t>
  </si>
  <si>
    <t>Ti è facile scegliere una classe a cui assegnare una domanda?</t>
  </si>
  <si>
    <t>Proporre domande agli studenti, ti aiuta a rendere le lezioni più stimolanti e partecipate?</t>
  </si>
  <si>
    <t>La possibilità di selezionare tra le diverse classi, ti ha velocizzato la revisione di una conversazione?</t>
  </si>
  <si>
    <t>Sai come usare il pulsante per la prossima domanda, per navigare nel quiz?</t>
  </si>
  <si>
    <t>Quanto ti ha dato senso di controllo la possibilità di poter approfondire una domanda?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</si>
</sst>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</font>
    <font>
      <b/>
      <i/>
      <sz val="16"/>
      <color theme="0"/>
      <name val="Times New Roman"/>
      <family val="1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sz val="8"/>
      <name val="Calibri"/>
      <family val="2"/>
      <scheme val="minor"/>
    </font>
    <font>
      <sz val="16"/>
      <color rgb="FF003366"/>
      <name val="Times"/>
    </font>
    <font>
      <sz val="11"/>
      <color theme="1"/>
      <name val="Times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i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rgb="FFFF0000"/>
      <name val="Times New Roman"/>
      <family val="1"/>
    </font>
    <font>
      <sz val="16"/>
      <color rgb="FFEE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CBDEDE"/>
        <bgColor rgb="FFCBDEDE"/>
      </patternFill>
    </fill>
    <fill>
      <patternFill patternType="solid">
        <fgColor rgb="FFE7EFEF"/>
        <bgColor rgb="FFE7EFEF"/>
      </patternFill>
    </fill>
    <fill>
      <patternFill patternType="solid">
        <fgColor rgb="FFCBDEDE"/>
        <bgColor indexed="64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1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rgb="FF284E3F"/>
      </top>
      <bottom/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indexed="64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/>
      <bottom/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indexed="64"/>
      </right>
      <top style="thin">
        <color rgb="FFF6F8F9"/>
      </top>
      <bottom style="thin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6" xfId="0" applyBorder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0" fillId="0" borderId="11" xfId="0" applyBorder="1"/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7" fillId="3" borderId="15" xfId="0" applyFont="1" applyFill="1" applyBorder="1" applyAlignment="1">
      <alignment horizontal="center" vertical="center" wrapText="1" readingOrder="1"/>
    </xf>
    <xf numFmtId="0" fontId="7" fillId="3" borderId="16" xfId="0" applyFont="1" applyFill="1" applyBorder="1" applyAlignment="1">
      <alignment horizontal="center" vertical="center" wrapText="1" readingOrder="1"/>
    </xf>
    <xf numFmtId="0" fontId="8" fillId="0" borderId="0" xfId="0" applyFont="1"/>
    <xf numFmtId="0" fontId="7" fillId="2" borderId="15" xfId="0" applyFont="1" applyFill="1" applyBorder="1" applyAlignment="1">
      <alignment horizontal="center" vertical="center" wrapText="1" readingOrder="1"/>
    </xf>
    <xf numFmtId="0" fontId="9" fillId="2" borderId="0" xfId="0" applyFont="1" applyFill="1"/>
    <xf numFmtId="0" fontId="4" fillId="2" borderId="0" xfId="0" applyFont="1" applyFill="1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0" borderId="0" xfId="0" applyFont="1"/>
    <xf numFmtId="0" fontId="7" fillId="4" borderId="15" xfId="0" applyFont="1" applyFill="1" applyBorder="1" applyAlignment="1">
      <alignment horizontal="center" vertical="center" wrapText="1" readingOrder="1"/>
    </xf>
    <xf numFmtId="2" fontId="0" fillId="5" borderId="0" xfId="0" applyNumberFormat="1" applyFill="1"/>
    <xf numFmtId="0" fontId="11" fillId="6" borderId="15" xfId="0" applyFont="1" applyFill="1" applyBorder="1" applyAlignment="1">
      <alignment horizontal="center" vertical="center" wrapText="1" readingOrder="1"/>
    </xf>
    <xf numFmtId="0" fontId="12" fillId="7" borderId="15" xfId="0" applyFont="1" applyFill="1" applyBorder="1" applyAlignment="1">
      <alignment horizontal="left" vertical="center" wrapText="1" readingOrder="1"/>
    </xf>
    <xf numFmtId="2" fontId="12" fillId="7" borderId="15" xfId="0" applyNumberFormat="1" applyFont="1" applyFill="1" applyBorder="1" applyAlignment="1">
      <alignment horizontal="center" vertical="center" wrapText="1" readingOrder="1"/>
    </xf>
    <xf numFmtId="2" fontId="13" fillId="7" borderId="15" xfId="0" applyNumberFormat="1" applyFont="1" applyFill="1" applyBorder="1" applyAlignment="1">
      <alignment horizontal="center" vertical="center" wrapText="1" readingOrder="1"/>
    </xf>
    <xf numFmtId="0" fontId="12" fillId="6" borderId="15" xfId="0" applyFont="1" applyFill="1" applyBorder="1" applyAlignment="1">
      <alignment horizontal="left" vertical="center" wrapText="1" readingOrder="1"/>
    </xf>
    <xf numFmtId="2" fontId="14" fillId="7" borderId="15" xfId="0" applyNumberFormat="1" applyFont="1" applyFill="1" applyBorder="1" applyAlignment="1">
      <alignment horizontal="center" vertical="center" wrapText="1" readingOrder="1"/>
    </xf>
  </cellXfs>
  <cellStyles count="1">
    <cellStyle name="Normale" xfId="0" builtinId="0"/>
  </cellStyles>
  <dxfs count="4">
    <dxf>
      <border diagonalUp="0" diagonalDown="0">
        <right style="thin">
          <color indexed="64"/>
        </right>
        <vertic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BEHAVIOURABILITY-style" pivot="0" count="3" xr9:uid="{F18306A2-37B8-4259-897D-7D1A328A93EC}">
      <tableStyleElement type="headerRow" dxfId="3"/>
      <tableStyleElement type="firstRowStripe" dxfId="2"/>
      <tableStyleElement type="secondRowStripe" dxfId="1"/>
    </tableStyle>
  </tableStyles>
  <colors>
    <mruColors>
      <color rgb="FFCB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E9E223-0C41-4928-85E0-C27291C8999E}" name="Tabella_1" displayName="Tabella_1" ref="A1:E13">
  <tableColumns count="5">
    <tableColumn id="1" xr3:uid="{FE4D7F00-606F-46DE-B183-573D517DFADF}" name="TASK"/>
    <tableColumn id="2" xr3:uid="{90EA9590-1D5E-4AFD-A903-9ECCF270E967}" name="Decision Making"/>
    <tableColumn id="3" xr3:uid="{7B57BE1E-FCAD-4855-8450-6000EED52159}" name="Self-Management "/>
    <tableColumn id="4" xr3:uid="{197A048E-FAAB-4C7F-8A81-5EA9083FBC84}" name="Communication "/>
    <tableColumn id="5" xr3:uid="{A2881CC9-2395-4EC6-A62C-76BA6C688C0B}" name="Engagement" dataDxfId="0"/>
  </tableColumns>
  <tableStyleInfo name="BEHAVIOURABILITY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workbookViewId="0">
      <selection activeCell="A23" sqref="A23"/>
    </sheetView>
  </sheetViews>
  <sheetFormatPr defaultColWidth="12.44140625" defaultRowHeight="15" customHeight="1" x14ac:dyDescent="0.3"/>
  <cols>
    <col min="1" max="1" width="68.77734375" customWidth="1"/>
    <col min="2" max="2" width="24.21875" customWidth="1"/>
    <col min="3" max="3" width="25.109375" customWidth="1"/>
    <col min="4" max="4" width="23.21875" customWidth="1"/>
    <col min="5" max="5" width="23.77734375" customWidth="1"/>
    <col min="6" max="26" width="9.6640625" customWidth="1"/>
  </cols>
  <sheetData>
    <row r="1" spans="1:26" ht="20.399999999999999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3">
      <c r="A2" s="5" t="s">
        <v>5</v>
      </c>
      <c r="B2" s="6" t="s">
        <v>6</v>
      </c>
      <c r="E2" s="7"/>
    </row>
    <row r="3" spans="1:26" ht="15.6" x14ac:dyDescent="0.3">
      <c r="A3" s="8" t="s">
        <v>7</v>
      </c>
      <c r="B3" s="9" t="s">
        <v>6</v>
      </c>
      <c r="D3" s="9" t="s">
        <v>8</v>
      </c>
      <c r="E3" s="10" t="s">
        <v>9</v>
      </c>
    </row>
    <row r="4" spans="1:26" ht="15.6" x14ac:dyDescent="0.3">
      <c r="A4" s="5" t="s">
        <v>10</v>
      </c>
      <c r="D4" s="6" t="s">
        <v>8</v>
      </c>
      <c r="E4" s="11" t="s">
        <v>11</v>
      </c>
    </row>
    <row r="5" spans="1:26" ht="15.6" x14ac:dyDescent="0.3">
      <c r="A5" s="8" t="s">
        <v>12</v>
      </c>
      <c r="B5" s="9" t="s">
        <v>13</v>
      </c>
      <c r="C5" s="9" t="s">
        <v>14</v>
      </c>
      <c r="E5" s="10" t="s">
        <v>11</v>
      </c>
    </row>
    <row r="6" spans="1:26" ht="15.6" x14ac:dyDescent="0.3">
      <c r="A6" s="5" t="s">
        <v>15</v>
      </c>
      <c r="C6" s="6" t="s">
        <v>16</v>
      </c>
      <c r="E6" s="12"/>
    </row>
    <row r="7" spans="1:26" ht="15.6" x14ac:dyDescent="0.3">
      <c r="A7" s="8" t="s">
        <v>17</v>
      </c>
      <c r="D7" s="9" t="s">
        <v>8</v>
      </c>
      <c r="E7" s="12"/>
    </row>
    <row r="8" spans="1:26" ht="15.6" x14ac:dyDescent="0.3">
      <c r="A8" s="5" t="s">
        <v>18</v>
      </c>
      <c r="B8" s="6" t="s">
        <v>13</v>
      </c>
      <c r="C8" s="6" t="s">
        <v>14</v>
      </c>
      <c r="E8" s="11" t="s">
        <v>11</v>
      </c>
    </row>
    <row r="9" spans="1:26" ht="15.6" x14ac:dyDescent="0.3">
      <c r="A9" s="8" t="s">
        <v>19</v>
      </c>
      <c r="B9" s="9" t="s">
        <v>6</v>
      </c>
      <c r="C9" s="9" t="s">
        <v>14</v>
      </c>
      <c r="E9" s="12"/>
    </row>
    <row r="10" spans="1:26" ht="15.6" x14ac:dyDescent="0.3">
      <c r="A10" s="5" t="s">
        <v>20</v>
      </c>
      <c r="B10" s="6" t="s">
        <v>6</v>
      </c>
      <c r="C10" s="6" t="s">
        <v>14</v>
      </c>
      <c r="E10" s="12"/>
    </row>
    <row r="11" spans="1:26" ht="15.6" x14ac:dyDescent="0.3">
      <c r="A11" s="8" t="s">
        <v>21</v>
      </c>
      <c r="B11" s="9" t="s">
        <v>6</v>
      </c>
      <c r="C11" s="9" t="s">
        <v>22</v>
      </c>
      <c r="E11" s="12"/>
    </row>
    <row r="12" spans="1:26" ht="15.6" x14ac:dyDescent="0.3">
      <c r="A12" s="5" t="s">
        <v>23</v>
      </c>
      <c r="B12" s="6" t="s">
        <v>6</v>
      </c>
      <c r="C12" s="6" t="s">
        <v>22</v>
      </c>
      <c r="D12" s="6" t="s">
        <v>8</v>
      </c>
      <c r="E12" s="11" t="s">
        <v>11</v>
      </c>
    </row>
    <row r="13" spans="1:26" ht="15.6" x14ac:dyDescent="0.3">
      <c r="A13" s="13" t="s">
        <v>24</v>
      </c>
      <c r="B13" s="14" t="s">
        <v>22</v>
      </c>
      <c r="C13" s="14" t="s">
        <v>22</v>
      </c>
      <c r="D13" s="14"/>
      <c r="E13" s="15" t="s">
        <v>9</v>
      </c>
    </row>
    <row r="14" spans="1:26" ht="15.6" x14ac:dyDescent="0.3">
      <c r="A14" s="16" t="s">
        <v>25</v>
      </c>
    </row>
    <row r="15" spans="1:26" ht="15.6" x14ac:dyDescent="0.3">
      <c r="A15" s="17" t="s">
        <v>26</v>
      </c>
    </row>
    <row r="16" spans="1:26" ht="15.6" x14ac:dyDescent="0.3">
      <c r="A16" s="17" t="s">
        <v>27</v>
      </c>
    </row>
    <row r="17" spans="1:1" ht="15.6" x14ac:dyDescent="0.3">
      <c r="A17" s="17" t="s">
        <v>28</v>
      </c>
    </row>
    <row r="18" spans="1:1" ht="15.6" x14ac:dyDescent="0.3">
      <c r="A18" s="17" t="s">
        <v>29</v>
      </c>
    </row>
    <row r="19" spans="1:1" ht="14.4" x14ac:dyDescent="0.3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28"/>
  <sheetViews>
    <sheetView zoomScale="80" workbookViewId="0">
      <selection activeCell="F10" sqref="F10"/>
    </sheetView>
  </sheetViews>
  <sheetFormatPr defaultRowHeight="15" customHeight="1" x14ac:dyDescent="0.3"/>
  <cols>
    <col min="1" max="1" width="17" customWidth="1"/>
    <col min="2" max="2" width="123.5546875" customWidth="1"/>
    <col min="3" max="3" width="13.109375" customWidth="1"/>
    <col min="4" max="4" width="15.5546875" customWidth="1"/>
    <col min="5" max="5" width="11" customWidth="1"/>
    <col min="6" max="6" width="18.33203125" customWidth="1"/>
    <col min="7" max="7" width="14.5546875" customWidth="1"/>
    <col min="8" max="8" width="13" customWidth="1"/>
  </cols>
  <sheetData>
    <row r="1" spans="1:25" s="20" customFormat="1" ht="22.05" customHeight="1" thickBot="1" x14ac:dyDescent="0.3">
      <c r="B1" s="18" t="s">
        <v>30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37</v>
      </c>
      <c r="B2" s="16" t="s">
        <v>121</v>
      </c>
      <c r="C2" s="24"/>
      <c r="D2" s="24"/>
      <c r="E2" s="24"/>
      <c r="F2" s="24" t="s">
        <v>38</v>
      </c>
      <c r="G2" s="24"/>
      <c r="H2" s="24">
        <f>IF(C2="X",1)+IF(D2="X",2)+IF(E2="X",3)+IF(F2="X",4)+IF(G2="X",5)</f>
        <v>4</v>
      </c>
    </row>
    <row r="3" spans="1:25" ht="22.05" customHeight="1" thickBot="1" x14ac:dyDescent="0.35">
      <c r="A3" s="18" t="s">
        <v>39</v>
      </c>
      <c r="B3" s="16" t="s">
        <v>40</v>
      </c>
      <c r="C3" s="24"/>
      <c r="D3" s="24"/>
      <c r="E3" s="24"/>
      <c r="F3" s="24" t="s">
        <v>38</v>
      </c>
      <c r="G3" s="24"/>
      <c r="H3" s="24">
        <f>IF(C3="X",1)+IF(D3="X",2)+IF(E3="X",3)+IF(F3="X",4)+IF(G3="X",5)</f>
        <v>4</v>
      </c>
    </row>
    <row r="4" spans="1:25" ht="22.05" customHeight="1" thickBot="1" x14ac:dyDescent="0.35">
      <c r="B4" s="18" t="s">
        <v>41</v>
      </c>
      <c r="C4" s="24"/>
      <c r="D4" s="24"/>
      <c r="E4" s="24"/>
      <c r="F4" s="24"/>
      <c r="G4" s="24"/>
      <c r="H4" s="24"/>
    </row>
    <row r="5" spans="1:25" ht="22.05" customHeight="1" thickBot="1" x14ac:dyDescent="0.35">
      <c r="A5" s="18" t="s">
        <v>42</v>
      </c>
      <c r="B5" s="16" t="s">
        <v>123</v>
      </c>
      <c r="C5" s="24"/>
      <c r="D5" s="24"/>
      <c r="E5" s="24" t="s">
        <v>38</v>
      </c>
      <c r="F5" s="24"/>
      <c r="G5" s="24"/>
      <c r="H5" s="24">
        <f>IF(C5="X",1)+IF(D5="X",2)+IF(E5="X",3)+IF(F5="X",4)+IF(G5="X",5)</f>
        <v>3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  <c r="H7" s="24"/>
    </row>
    <row r="8" spans="1:25" ht="22.05" customHeight="1" thickBot="1" x14ac:dyDescent="0.35">
      <c r="A8" s="18" t="s">
        <v>43</v>
      </c>
      <c r="B8" s="16" t="s">
        <v>126</v>
      </c>
      <c r="C8" s="24"/>
      <c r="D8" s="24"/>
      <c r="E8" s="24"/>
      <c r="F8" s="24"/>
      <c r="G8" s="24"/>
      <c r="H8" s="24"/>
    </row>
    <row r="9" spans="1:25" ht="22.05" customHeight="1" thickBot="1" x14ac:dyDescent="0.35">
      <c r="A9" s="18" t="s">
        <v>45</v>
      </c>
      <c r="B9" s="16" t="s">
        <v>44</v>
      </c>
      <c r="C9" s="24"/>
      <c r="D9" s="24"/>
      <c r="E9" s="24"/>
      <c r="F9" s="24" t="s">
        <v>38</v>
      </c>
      <c r="G9" s="24"/>
      <c r="H9" s="24">
        <f t="shared" ref="H9:H69" si="0">IF(C9="X",1)+IF(D9="X",2)+IF(E9="X",3)+IF(F9="X",4)+IF(G9="X",5)</f>
        <v>4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  <c r="H10" s="24"/>
    </row>
    <row r="11" spans="1:25" ht="22.05" customHeight="1" thickBot="1" x14ac:dyDescent="0.35">
      <c r="A11" s="18" t="s">
        <v>46</v>
      </c>
      <c r="B11" s="16" t="s">
        <v>124</v>
      </c>
      <c r="C11" s="24"/>
      <c r="D11" s="24"/>
      <c r="E11" s="24"/>
      <c r="F11" s="24"/>
      <c r="G11" s="24" t="s">
        <v>38</v>
      </c>
      <c r="H11" s="24">
        <f t="shared" si="0"/>
        <v>5</v>
      </c>
    </row>
    <row r="12" spans="1:25" ht="22.05" customHeight="1" thickBot="1" x14ac:dyDescent="0.35">
      <c r="B12" s="18" t="s">
        <v>47</v>
      </c>
      <c r="C12" s="24"/>
      <c r="D12" s="24"/>
      <c r="E12" s="24"/>
      <c r="F12" s="24"/>
      <c r="G12" s="24"/>
      <c r="H12" s="24"/>
    </row>
    <row r="13" spans="1:25" ht="22.05" customHeight="1" thickBot="1" x14ac:dyDescent="0.35">
      <c r="A13" s="18" t="s">
        <v>48</v>
      </c>
      <c r="B13" s="16" t="s">
        <v>125</v>
      </c>
      <c r="C13" s="24"/>
      <c r="D13" s="24"/>
      <c r="E13" s="24"/>
      <c r="F13" s="24"/>
      <c r="G13" s="24" t="s">
        <v>38</v>
      </c>
      <c r="H13" s="24">
        <f t="shared" si="0"/>
        <v>5</v>
      </c>
    </row>
    <row r="14" spans="1:25" ht="22.05" customHeight="1" thickBot="1" x14ac:dyDescent="0.35">
      <c r="A14" s="18" t="s">
        <v>49</v>
      </c>
      <c r="B14" s="16" t="s">
        <v>127</v>
      </c>
      <c r="C14" s="24"/>
      <c r="D14" s="24"/>
      <c r="E14" s="24"/>
      <c r="F14" s="24" t="s">
        <v>38</v>
      </c>
      <c r="G14" s="24"/>
      <c r="H14" s="24">
        <f t="shared" si="0"/>
        <v>4</v>
      </c>
    </row>
    <row r="15" spans="1:25" ht="22.05" customHeight="1" thickBot="1" x14ac:dyDescent="0.35">
      <c r="A15" s="21"/>
      <c r="B15" s="22"/>
      <c r="C15" s="25"/>
      <c r="D15" s="25"/>
      <c r="E15" s="25"/>
      <c r="F15" s="25"/>
      <c r="G15" s="25"/>
      <c r="H15" s="25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22.05" customHeight="1" thickBot="1" x14ac:dyDescent="0.35">
      <c r="B16" s="18" t="s">
        <v>30</v>
      </c>
      <c r="C16" s="24"/>
      <c r="D16" s="24"/>
      <c r="E16" s="24"/>
      <c r="F16" s="24"/>
      <c r="G16" s="24"/>
      <c r="H16" s="24"/>
    </row>
    <row r="17" spans="1:25" ht="22.05" customHeight="1" thickBot="1" x14ac:dyDescent="0.35">
      <c r="A17" s="18" t="s">
        <v>50</v>
      </c>
      <c r="B17" s="16" t="s">
        <v>128</v>
      </c>
      <c r="C17" s="24"/>
      <c r="D17" s="24"/>
      <c r="E17" s="24"/>
      <c r="F17" s="24"/>
      <c r="G17" s="24"/>
      <c r="H17" s="24"/>
    </row>
    <row r="18" spans="1:25" ht="22.05" customHeight="1" thickBot="1" x14ac:dyDescent="0.35">
      <c r="A18" s="18" t="s">
        <v>51</v>
      </c>
      <c r="B18" s="16" t="s">
        <v>131</v>
      </c>
      <c r="C18" s="24"/>
      <c r="D18" s="24"/>
      <c r="E18" s="24"/>
      <c r="F18" s="24"/>
      <c r="G18" s="24" t="s">
        <v>38</v>
      </c>
      <c r="H18" s="24">
        <f t="shared" si="0"/>
        <v>5</v>
      </c>
    </row>
    <row r="19" spans="1:25" ht="22.05" customHeight="1" thickBot="1" x14ac:dyDescent="0.35">
      <c r="A19" s="18" t="s">
        <v>129</v>
      </c>
      <c r="B19" s="16" t="s">
        <v>52</v>
      </c>
      <c r="C19" s="24"/>
      <c r="D19" s="24"/>
      <c r="E19" s="24"/>
      <c r="F19" s="24" t="s">
        <v>38</v>
      </c>
      <c r="G19" s="24"/>
      <c r="H19" s="24">
        <f t="shared" si="0"/>
        <v>4</v>
      </c>
    </row>
    <row r="20" spans="1:25" ht="22.05" customHeight="1" thickBot="1" x14ac:dyDescent="0.35">
      <c r="A20" s="18" t="s">
        <v>130</v>
      </c>
      <c r="B20" s="16" t="s">
        <v>122</v>
      </c>
      <c r="C20" s="24"/>
      <c r="D20" s="24"/>
      <c r="E20" s="24"/>
      <c r="F20" s="24"/>
      <c r="G20" s="24"/>
      <c r="H20" s="24"/>
    </row>
    <row r="21" spans="1:25" ht="22.05" customHeight="1" thickBot="1" x14ac:dyDescent="0.35">
      <c r="B21" s="18" t="s">
        <v>41</v>
      </c>
      <c r="C21" s="24"/>
      <c r="D21" s="24"/>
      <c r="E21" s="24"/>
      <c r="F21" s="24"/>
      <c r="G21" s="24"/>
      <c r="H21" s="24"/>
    </row>
    <row r="22" spans="1:25" ht="22.05" customHeight="1" thickBot="1" x14ac:dyDescent="0.35">
      <c r="A22" s="18" t="s">
        <v>53</v>
      </c>
      <c r="B22" s="16" t="s">
        <v>132</v>
      </c>
      <c r="C22" s="24"/>
      <c r="D22" s="24"/>
      <c r="E22" s="24"/>
      <c r="F22" s="24" t="s">
        <v>38</v>
      </c>
      <c r="G22" s="24"/>
      <c r="H22" s="24">
        <f t="shared" si="0"/>
        <v>4</v>
      </c>
    </row>
    <row r="23" spans="1:25" ht="22.05" customHeight="1" thickBot="1" x14ac:dyDescent="0.35">
      <c r="B23" s="18" t="s">
        <v>47</v>
      </c>
      <c r="C23" s="24"/>
      <c r="D23" s="24"/>
      <c r="E23" s="24"/>
      <c r="F23" s="24"/>
      <c r="G23" s="24"/>
      <c r="H23" s="24"/>
    </row>
    <row r="24" spans="1:25" ht="22.05" customHeight="1" thickBot="1" x14ac:dyDescent="0.35">
      <c r="A24" s="18" t="s">
        <v>54</v>
      </c>
      <c r="B24" s="16" t="s">
        <v>55</v>
      </c>
      <c r="C24" s="24"/>
      <c r="D24" s="24"/>
      <c r="E24" s="24"/>
      <c r="F24" s="24"/>
      <c r="G24" s="24" t="s">
        <v>38</v>
      </c>
      <c r="H24" s="24">
        <f t="shared" si="0"/>
        <v>5</v>
      </c>
    </row>
    <row r="25" spans="1:25" ht="22.05" customHeight="1" thickBot="1" x14ac:dyDescent="0.35">
      <c r="A25" s="21"/>
      <c r="B25" s="22"/>
      <c r="C25" s="25"/>
      <c r="D25" s="25"/>
      <c r="E25" s="25"/>
      <c r="F25" s="25"/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22.05" customHeight="1" thickBot="1" x14ac:dyDescent="0.35">
      <c r="B26" s="18" t="s">
        <v>41</v>
      </c>
      <c r="C26" s="24"/>
      <c r="D26" s="24"/>
      <c r="E26" s="24"/>
      <c r="F26" s="24"/>
      <c r="G26" s="24"/>
      <c r="H26" s="24"/>
    </row>
    <row r="27" spans="1:25" ht="22.05" customHeight="1" thickBot="1" x14ac:dyDescent="0.35">
      <c r="A27" s="18" t="s">
        <v>56</v>
      </c>
      <c r="B27" s="16" t="s">
        <v>57</v>
      </c>
      <c r="C27" s="24"/>
      <c r="D27" s="24"/>
      <c r="E27" s="24"/>
      <c r="F27" s="24"/>
      <c r="G27" s="24" t="s">
        <v>38</v>
      </c>
      <c r="H27" s="24">
        <f t="shared" si="0"/>
        <v>5</v>
      </c>
    </row>
    <row r="28" spans="1:25" ht="22.05" customHeight="1" thickBot="1" x14ac:dyDescent="0.35">
      <c r="A28" s="18" t="s">
        <v>133</v>
      </c>
      <c r="B28" s="16" t="s">
        <v>136</v>
      </c>
      <c r="C28" s="24"/>
      <c r="D28" s="24"/>
      <c r="E28" s="24"/>
      <c r="F28" s="24"/>
      <c r="G28" s="24"/>
      <c r="H28" s="24"/>
    </row>
    <row r="29" spans="1:25" ht="22.05" customHeight="1" thickBot="1" x14ac:dyDescent="0.35">
      <c r="B29" s="18" t="s">
        <v>58</v>
      </c>
      <c r="C29" s="24"/>
      <c r="D29" s="24"/>
      <c r="E29" s="24"/>
      <c r="F29" s="24"/>
      <c r="G29" s="24"/>
      <c r="H29" s="24"/>
    </row>
    <row r="30" spans="1:25" ht="22.05" customHeight="1" thickBot="1" x14ac:dyDescent="0.35">
      <c r="A30" s="18" t="s">
        <v>59</v>
      </c>
      <c r="B30" s="16" t="s">
        <v>134</v>
      </c>
      <c r="C30" s="24"/>
      <c r="D30" s="24"/>
      <c r="E30" s="24"/>
      <c r="F30" s="24" t="s">
        <v>38</v>
      </c>
      <c r="G30" s="24"/>
      <c r="H30" s="24">
        <f t="shared" si="0"/>
        <v>4</v>
      </c>
    </row>
    <row r="31" spans="1:25" ht="22.05" customHeight="1" thickBot="1" x14ac:dyDescent="0.35">
      <c r="A31" s="18" t="s">
        <v>60</v>
      </c>
      <c r="B31" s="16" t="s">
        <v>135</v>
      </c>
      <c r="C31" s="24"/>
      <c r="D31" s="24"/>
      <c r="E31" s="24"/>
      <c r="F31" s="24" t="s">
        <v>38</v>
      </c>
      <c r="G31" s="24"/>
      <c r="H31" s="24">
        <f t="shared" si="0"/>
        <v>4</v>
      </c>
    </row>
    <row r="32" spans="1:25" ht="22.05" customHeight="1" thickBot="1" x14ac:dyDescent="0.35">
      <c r="B32" s="18" t="s">
        <v>47</v>
      </c>
      <c r="C32" s="24"/>
      <c r="D32" s="24"/>
      <c r="E32" s="24"/>
      <c r="F32" s="24"/>
      <c r="G32" s="24"/>
      <c r="H32" s="24"/>
    </row>
    <row r="33" spans="1:25" ht="22.05" customHeight="1" thickBot="1" x14ac:dyDescent="0.35">
      <c r="A33" s="18" t="s">
        <v>61</v>
      </c>
      <c r="B33" s="16" t="s">
        <v>62</v>
      </c>
      <c r="C33" s="24"/>
      <c r="D33" s="24"/>
      <c r="E33" s="24"/>
      <c r="F33" s="24"/>
      <c r="G33" s="24" t="s">
        <v>38</v>
      </c>
      <c r="H33" s="24">
        <f t="shared" si="0"/>
        <v>5</v>
      </c>
    </row>
    <row r="34" spans="1:25" ht="22.05" customHeight="1" thickBot="1" x14ac:dyDescent="0.35">
      <c r="A34" s="18" t="s">
        <v>63</v>
      </c>
      <c r="B34" s="16" t="s">
        <v>137</v>
      </c>
      <c r="C34" s="24"/>
      <c r="D34" s="24"/>
      <c r="E34" s="24"/>
      <c r="F34" s="24"/>
      <c r="G34" s="24" t="s">
        <v>38</v>
      </c>
      <c r="H34" s="24">
        <f t="shared" si="0"/>
        <v>5</v>
      </c>
    </row>
    <row r="35" spans="1:25" ht="22.05" customHeight="1" thickBot="1" x14ac:dyDescent="0.35">
      <c r="A35" s="18" t="s">
        <v>64</v>
      </c>
      <c r="B35" s="16" t="s">
        <v>138</v>
      </c>
      <c r="C35" s="24"/>
      <c r="D35" s="24"/>
      <c r="E35" s="24" t="s">
        <v>38</v>
      </c>
      <c r="F35" s="24"/>
      <c r="G35" s="24"/>
      <c r="H35" s="24">
        <f t="shared" si="0"/>
        <v>3</v>
      </c>
    </row>
    <row r="36" spans="1:25" ht="22.05" customHeight="1" thickBot="1" x14ac:dyDescent="0.35">
      <c r="A36" s="21"/>
      <c r="B36" s="22"/>
      <c r="C36" s="25"/>
      <c r="D36" s="25"/>
      <c r="E36" s="25"/>
      <c r="F36" s="25"/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22.05" customHeight="1" thickBot="1" x14ac:dyDescent="0.35">
      <c r="B37" s="18" t="s">
        <v>41</v>
      </c>
      <c r="C37" s="24"/>
      <c r="D37" s="24"/>
      <c r="E37" s="24"/>
      <c r="F37" s="24"/>
      <c r="G37" s="24"/>
      <c r="H37" s="24"/>
    </row>
    <row r="38" spans="1:25" ht="22.05" customHeight="1" thickBot="1" x14ac:dyDescent="0.35">
      <c r="A38" s="18" t="s">
        <v>65</v>
      </c>
      <c r="B38" s="16" t="s">
        <v>66</v>
      </c>
      <c r="C38" s="24"/>
      <c r="D38" s="24"/>
      <c r="E38" s="24"/>
      <c r="F38" s="24" t="s">
        <v>38</v>
      </c>
      <c r="G38" s="24"/>
      <c r="H38" s="24">
        <f t="shared" si="0"/>
        <v>4</v>
      </c>
    </row>
    <row r="39" spans="1:25" ht="22.05" customHeight="1" thickBot="1" x14ac:dyDescent="0.35">
      <c r="A39" s="18" t="s">
        <v>67</v>
      </c>
      <c r="B39" s="16" t="s">
        <v>139</v>
      </c>
      <c r="C39" s="24"/>
      <c r="D39" s="24"/>
      <c r="E39" s="24"/>
      <c r="F39" s="24"/>
      <c r="G39" s="24" t="s">
        <v>38</v>
      </c>
      <c r="H39" s="24">
        <f t="shared" si="0"/>
        <v>5</v>
      </c>
    </row>
    <row r="40" spans="1:25" ht="22.05" customHeight="1" thickBot="1" x14ac:dyDescent="0.35">
      <c r="B40" s="18" t="s">
        <v>58</v>
      </c>
      <c r="C40" s="24"/>
      <c r="D40" s="24"/>
      <c r="E40" s="24"/>
      <c r="F40" s="24"/>
      <c r="G40" s="24"/>
      <c r="H40" s="24"/>
    </row>
    <row r="41" spans="1:25" ht="22.05" customHeight="1" thickBot="1" x14ac:dyDescent="0.35">
      <c r="A41" s="18" t="s">
        <v>68</v>
      </c>
      <c r="B41" s="16" t="s">
        <v>140</v>
      </c>
      <c r="C41" s="24"/>
      <c r="D41" s="24"/>
      <c r="E41" s="24" t="s">
        <v>38</v>
      </c>
      <c r="F41" s="24"/>
      <c r="G41" s="24"/>
      <c r="H41" s="24">
        <f t="shared" si="0"/>
        <v>3</v>
      </c>
    </row>
    <row r="42" spans="1:25" ht="22.05" customHeight="1" thickBot="1" x14ac:dyDescent="0.35">
      <c r="A42" s="18" t="s">
        <v>69</v>
      </c>
      <c r="B42" s="16" t="s">
        <v>141</v>
      </c>
      <c r="C42" s="24"/>
      <c r="D42" s="24"/>
      <c r="E42" s="24"/>
      <c r="F42" s="24" t="s">
        <v>38</v>
      </c>
      <c r="G42" s="24"/>
      <c r="H42" s="24">
        <f t="shared" si="0"/>
        <v>4</v>
      </c>
    </row>
    <row r="43" spans="1:25" ht="22.05" customHeight="1" thickBot="1" x14ac:dyDescent="0.35">
      <c r="A43" s="18" t="s">
        <v>142</v>
      </c>
      <c r="B43" s="16" t="s">
        <v>143</v>
      </c>
      <c r="C43" s="24"/>
      <c r="D43" s="24"/>
      <c r="E43" s="24"/>
      <c r="F43" s="24"/>
      <c r="G43" s="24"/>
      <c r="H43" s="24">
        <f t="shared" si="0"/>
        <v>0</v>
      </c>
    </row>
    <row r="44" spans="1:25" ht="22.05" customHeight="1" thickBot="1" x14ac:dyDescent="0.35">
      <c r="A44" s="21"/>
      <c r="B44" s="22"/>
      <c r="C44" s="25"/>
      <c r="D44" s="25"/>
      <c r="E44" s="25"/>
      <c r="F44" s="25"/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2.05" customHeight="1" thickBot="1" x14ac:dyDescent="0.35">
      <c r="B45" s="18" t="s">
        <v>30</v>
      </c>
      <c r="C45" s="24"/>
      <c r="D45" s="24"/>
      <c r="E45" s="24"/>
      <c r="F45" s="24"/>
      <c r="G45" s="24"/>
      <c r="H45" s="24"/>
    </row>
    <row r="46" spans="1:25" ht="22.05" customHeight="1" thickBot="1" x14ac:dyDescent="0.35">
      <c r="A46" s="18" t="s">
        <v>70</v>
      </c>
      <c r="B46" s="16" t="s">
        <v>71</v>
      </c>
      <c r="C46" s="24"/>
      <c r="D46" s="24"/>
      <c r="E46" s="24"/>
      <c r="F46" s="24" t="s">
        <v>38</v>
      </c>
      <c r="G46" s="24"/>
      <c r="H46" s="24">
        <f t="shared" si="0"/>
        <v>4</v>
      </c>
    </row>
    <row r="47" spans="1:25" ht="22.05" customHeight="1" thickBot="1" x14ac:dyDescent="0.35">
      <c r="A47" s="18" t="s">
        <v>72</v>
      </c>
      <c r="B47" s="16" t="s">
        <v>144</v>
      </c>
      <c r="C47" s="24"/>
      <c r="D47" s="24"/>
      <c r="E47" s="24" t="s">
        <v>38</v>
      </c>
      <c r="F47" s="24"/>
      <c r="G47" s="24"/>
      <c r="H47" s="24">
        <f t="shared" si="0"/>
        <v>3</v>
      </c>
    </row>
    <row r="48" spans="1:25" ht="22.05" customHeight="1" thickBot="1" x14ac:dyDescent="0.35">
      <c r="B48" s="18" t="s">
        <v>47</v>
      </c>
      <c r="C48" s="24"/>
      <c r="D48" s="24"/>
      <c r="E48" s="24"/>
      <c r="F48" s="24"/>
      <c r="G48" s="24"/>
      <c r="H48" s="24"/>
    </row>
    <row r="49" spans="1:25" ht="22.05" customHeight="1" thickBot="1" x14ac:dyDescent="0.35">
      <c r="A49" s="18" t="s">
        <v>73</v>
      </c>
      <c r="B49" s="16" t="s">
        <v>145</v>
      </c>
      <c r="C49" s="24"/>
      <c r="D49" s="24"/>
      <c r="E49" s="24"/>
      <c r="F49" s="24"/>
      <c r="G49" s="24" t="s">
        <v>38</v>
      </c>
      <c r="H49" s="24">
        <f t="shared" si="0"/>
        <v>5</v>
      </c>
    </row>
    <row r="50" spans="1:25" ht="22.05" customHeight="1" thickBot="1" x14ac:dyDescent="0.35">
      <c r="A50" s="21"/>
      <c r="B50" s="22"/>
      <c r="C50" s="25"/>
      <c r="D50" s="25"/>
      <c r="E50" s="25"/>
      <c r="F50" s="25"/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2.05" customHeight="1" thickBot="1" x14ac:dyDescent="0.35">
      <c r="B51" s="18" t="s">
        <v>30</v>
      </c>
      <c r="C51" s="24"/>
      <c r="D51" s="24"/>
      <c r="E51" s="24"/>
      <c r="F51" s="24"/>
      <c r="G51" s="24"/>
      <c r="H51" s="24"/>
    </row>
    <row r="52" spans="1:25" ht="22.05" customHeight="1" thickBot="1" x14ac:dyDescent="0.35">
      <c r="A52" s="18" t="s">
        <v>74</v>
      </c>
      <c r="B52" s="16" t="s">
        <v>146</v>
      </c>
      <c r="C52" s="24"/>
      <c r="D52" s="24"/>
      <c r="E52" s="24"/>
      <c r="F52" s="24"/>
      <c r="G52" s="24" t="s">
        <v>38</v>
      </c>
      <c r="H52" s="24">
        <f t="shared" si="0"/>
        <v>5</v>
      </c>
    </row>
    <row r="53" spans="1:25" ht="22.05" customHeight="1" thickBot="1" x14ac:dyDescent="0.35">
      <c r="A53" s="18" t="s">
        <v>75</v>
      </c>
      <c r="B53" s="16" t="s">
        <v>147</v>
      </c>
      <c r="C53" s="24"/>
      <c r="D53" s="24"/>
      <c r="E53" s="24"/>
      <c r="F53" s="24" t="s">
        <v>38</v>
      </c>
      <c r="G53" s="24"/>
      <c r="H53" s="24">
        <f t="shared" si="0"/>
        <v>4</v>
      </c>
    </row>
    <row r="54" spans="1:25" ht="22.05" customHeight="1" thickBot="1" x14ac:dyDescent="0.35">
      <c r="B54" s="18" t="s">
        <v>41</v>
      </c>
      <c r="C54" s="24"/>
      <c r="D54" s="24"/>
      <c r="E54" s="24"/>
      <c r="F54" s="24"/>
      <c r="G54" s="24"/>
      <c r="H54" s="24"/>
    </row>
    <row r="55" spans="1:25" ht="22.05" customHeight="1" thickBot="1" x14ac:dyDescent="0.35">
      <c r="A55" s="18" t="s">
        <v>76</v>
      </c>
      <c r="B55" s="16" t="s">
        <v>148</v>
      </c>
      <c r="C55" s="24" t="s">
        <v>38</v>
      </c>
      <c r="D55" s="24"/>
      <c r="E55" s="24"/>
      <c r="F55" s="24"/>
      <c r="G55" s="24"/>
      <c r="H55" s="24">
        <f t="shared" si="0"/>
        <v>1</v>
      </c>
    </row>
    <row r="56" spans="1:25" ht="22.05" customHeight="1" thickBot="1" x14ac:dyDescent="0.35">
      <c r="B56" s="18" t="s">
        <v>58</v>
      </c>
      <c r="C56" s="24"/>
      <c r="D56" s="24"/>
      <c r="E56" s="24"/>
      <c r="F56" s="24"/>
      <c r="G56" s="24"/>
      <c r="H56" s="24"/>
    </row>
    <row r="57" spans="1:25" ht="22.05" customHeight="1" thickBot="1" x14ac:dyDescent="0.35">
      <c r="A57" s="18" t="s">
        <v>77</v>
      </c>
      <c r="B57" s="16" t="s">
        <v>151</v>
      </c>
      <c r="C57" s="24"/>
      <c r="D57" s="24"/>
      <c r="E57" s="24"/>
      <c r="F57" s="24"/>
      <c r="G57" s="24"/>
      <c r="H57" s="24"/>
    </row>
    <row r="58" spans="1:25" ht="22.05" customHeight="1" thickBot="1" x14ac:dyDescent="0.35">
      <c r="A58" s="18" t="s">
        <v>78</v>
      </c>
      <c r="B58" s="16" t="s">
        <v>149</v>
      </c>
      <c r="C58" s="24"/>
      <c r="D58" s="24"/>
      <c r="E58" s="24"/>
      <c r="F58" s="24" t="s">
        <v>38</v>
      </c>
      <c r="G58" s="24"/>
      <c r="H58" s="24">
        <f t="shared" si="0"/>
        <v>4</v>
      </c>
    </row>
    <row r="59" spans="1:25" ht="22.05" customHeight="1" thickBot="1" x14ac:dyDescent="0.35">
      <c r="B59" s="18" t="s">
        <v>47</v>
      </c>
      <c r="C59" s="24"/>
      <c r="D59" s="24"/>
      <c r="E59" s="24"/>
      <c r="F59" s="24"/>
      <c r="G59" s="24"/>
      <c r="H59" s="24"/>
    </row>
    <row r="60" spans="1:25" ht="22.05" customHeight="1" thickBot="1" x14ac:dyDescent="0.35">
      <c r="A60" s="18" t="s">
        <v>79</v>
      </c>
      <c r="B60" s="16" t="s">
        <v>150</v>
      </c>
      <c r="C60" s="24"/>
      <c r="D60" s="24"/>
      <c r="E60" s="24"/>
      <c r="F60" s="24"/>
      <c r="G60" s="24" t="s">
        <v>38</v>
      </c>
      <c r="H60" s="24">
        <f t="shared" si="0"/>
        <v>5</v>
      </c>
    </row>
    <row r="61" spans="1:25" ht="22.05" customHeight="1" thickBot="1" x14ac:dyDescent="0.35">
      <c r="A61" s="21"/>
      <c r="B61" s="22"/>
      <c r="C61" s="25"/>
      <c r="D61" s="25"/>
      <c r="E61" s="25"/>
      <c r="F61" s="25"/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22.05" customHeight="1" thickBot="1" x14ac:dyDescent="0.35">
      <c r="B62" s="18" t="s">
        <v>30</v>
      </c>
      <c r="C62" s="24"/>
      <c r="D62" s="24"/>
      <c r="E62" s="24"/>
      <c r="F62" s="24"/>
      <c r="G62" s="24"/>
      <c r="H62" s="24"/>
    </row>
    <row r="63" spans="1:25" ht="22.05" customHeight="1" thickBot="1" x14ac:dyDescent="0.35">
      <c r="A63" s="18" t="s">
        <v>80</v>
      </c>
      <c r="B63" s="16" t="s">
        <v>152</v>
      </c>
      <c r="C63" s="24"/>
      <c r="D63" s="24"/>
      <c r="E63" s="24"/>
      <c r="F63" s="24"/>
      <c r="G63" s="24" t="s">
        <v>38</v>
      </c>
      <c r="H63" s="24">
        <f t="shared" si="0"/>
        <v>5</v>
      </c>
    </row>
    <row r="64" spans="1:25" ht="22.05" customHeight="1" thickBot="1" x14ac:dyDescent="0.35">
      <c r="B64" s="18" t="s">
        <v>41</v>
      </c>
      <c r="C64" s="24"/>
      <c r="D64" s="24"/>
      <c r="E64" s="24"/>
      <c r="F64" s="24"/>
      <c r="G64" s="24"/>
      <c r="H64" s="24"/>
    </row>
    <row r="65" spans="1:8" ht="22.05" customHeight="1" thickBot="1" x14ac:dyDescent="0.35">
      <c r="A65" s="18" t="s">
        <v>81</v>
      </c>
      <c r="B65" s="16" t="s">
        <v>153</v>
      </c>
      <c r="C65" s="24"/>
      <c r="D65" s="24"/>
      <c r="E65" s="24" t="s">
        <v>38</v>
      </c>
      <c r="F65" s="24"/>
      <c r="G65" s="24"/>
      <c r="H65" s="24">
        <f t="shared" si="0"/>
        <v>3</v>
      </c>
    </row>
    <row r="66" spans="1:8" ht="22.05" customHeight="1" thickBot="1" x14ac:dyDescent="0.35">
      <c r="B66" s="18" t="s">
        <v>58</v>
      </c>
      <c r="C66" s="24"/>
      <c r="D66" s="24"/>
      <c r="E66" s="24"/>
      <c r="F66" s="24"/>
      <c r="G66" s="24"/>
      <c r="H66" s="24"/>
    </row>
    <row r="67" spans="1:8" ht="22.05" customHeight="1" thickBot="1" x14ac:dyDescent="0.35">
      <c r="A67" s="18" t="s">
        <v>82</v>
      </c>
      <c r="B67" s="16" t="s">
        <v>154</v>
      </c>
      <c r="C67" s="24"/>
      <c r="D67" s="24"/>
      <c r="E67" s="24" t="s">
        <v>38</v>
      </c>
      <c r="F67" s="24"/>
      <c r="G67" s="24"/>
      <c r="H67" s="24">
        <f t="shared" si="0"/>
        <v>3</v>
      </c>
    </row>
    <row r="68" spans="1:8" ht="22.05" customHeight="1" thickBot="1" x14ac:dyDescent="0.35">
      <c r="B68" s="18" t="s">
        <v>47</v>
      </c>
      <c r="C68" s="24"/>
      <c r="D68" s="24"/>
      <c r="E68" s="24"/>
      <c r="F68" s="24"/>
      <c r="G68" s="24"/>
      <c r="H68" s="24"/>
    </row>
    <row r="69" spans="1:8" ht="22.05" customHeight="1" thickBot="1" x14ac:dyDescent="0.35">
      <c r="A69" s="18" t="s">
        <v>83</v>
      </c>
      <c r="B69" s="16" t="s">
        <v>155</v>
      </c>
      <c r="C69" s="24"/>
      <c r="D69" s="24"/>
      <c r="E69" s="24"/>
      <c r="F69" s="24"/>
      <c r="G69" s="24"/>
      <c r="H69" s="24">
        <f t="shared" si="0"/>
        <v>0</v>
      </c>
    </row>
    <row r="70" spans="1:8" ht="22.05" customHeight="1" x14ac:dyDescent="0.3">
      <c r="C70" s="24"/>
      <c r="D70" s="24"/>
      <c r="E70" s="24"/>
      <c r="F70" s="24"/>
      <c r="G70" s="24"/>
      <c r="H70" s="24"/>
    </row>
    <row r="71" spans="1:8" ht="22.05" customHeight="1" x14ac:dyDescent="0.3">
      <c r="C71" s="24"/>
      <c r="D71" s="24"/>
      <c r="E71" s="24"/>
      <c r="F71" s="24"/>
      <c r="G71" s="24"/>
      <c r="H71" s="24"/>
    </row>
    <row r="72" spans="1:8" ht="22.05" customHeight="1" x14ac:dyDescent="0.3">
      <c r="C72" s="24"/>
      <c r="D72" s="24"/>
      <c r="E72" s="24"/>
      <c r="F72" s="24"/>
      <c r="G72" s="24"/>
      <c r="H72" s="24"/>
    </row>
    <row r="73" spans="1:8" ht="15" customHeight="1" x14ac:dyDescent="0.3">
      <c r="C73" s="24"/>
      <c r="D73" s="24"/>
      <c r="E73" s="24"/>
      <c r="F73" s="24"/>
      <c r="G73" s="24"/>
      <c r="H73" s="24"/>
    </row>
    <row r="74" spans="1:8" ht="15" customHeight="1" x14ac:dyDescent="0.3">
      <c r="C74" s="24"/>
      <c r="D74" s="24"/>
      <c r="E74" s="24"/>
      <c r="F74" s="24"/>
      <c r="G74" s="24"/>
      <c r="H74" s="24"/>
    </row>
    <row r="75" spans="1:8" ht="15" customHeight="1" x14ac:dyDescent="0.3">
      <c r="C75" s="24"/>
      <c r="D75" s="24"/>
      <c r="E75" s="24"/>
      <c r="F75" s="24"/>
      <c r="G75" s="24"/>
      <c r="H75" s="24"/>
    </row>
    <row r="76" spans="1:8" ht="15" customHeight="1" x14ac:dyDescent="0.3">
      <c r="C76" s="24"/>
      <c r="D76" s="24"/>
      <c r="E76" s="24"/>
      <c r="F76" s="24"/>
      <c r="G76" s="24"/>
      <c r="H76" s="24"/>
    </row>
    <row r="77" spans="1:8" ht="15" customHeight="1" x14ac:dyDescent="0.3">
      <c r="C77" s="24"/>
      <c r="D77" s="24"/>
      <c r="E77" s="24"/>
      <c r="F77" s="24"/>
      <c r="G77" s="24"/>
      <c r="H77" s="24"/>
    </row>
    <row r="78" spans="1:8" ht="15" customHeight="1" x14ac:dyDescent="0.3">
      <c r="C78" s="24"/>
      <c r="D78" s="24"/>
      <c r="E78" s="24"/>
      <c r="F78" s="24"/>
      <c r="G78" s="24"/>
      <c r="H78" s="24"/>
    </row>
    <row r="79" spans="1:8" ht="15" customHeight="1" x14ac:dyDescent="0.3">
      <c r="C79" s="24"/>
      <c r="D79" s="24"/>
      <c r="E79" s="24"/>
      <c r="F79" s="24"/>
      <c r="G79" s="24"/>
      <c r="H79" s="24"/>
    </row>
    <row r="80" spans="1:8" ht="15" customHeight="1" x14ac:dyDescent="0.3">
      <c r="C80" s="24"/>
      <c r="D80" s="24"/>
      <c r="E80" s="24"/>
      <c r="F80" s="24"/>
      <c r="G80" s="24"/>
      <c r="H80" s="24"/>
    </row>
    <row r="81" spans="3:8" ht="15" customHeight="1" x14ac:dyDescent="0.3">
      <c r="C81" s="24"/>
      <c r="D81" s="24"/>
      <c r="E81" s="24"/>
      <c r="F81" s="24"/>
      <c r="G81" s="24"/>
      <c r="H81" s="24"/>
    </row>
    <row r="82" spans="3:8" ht="15" customHeight="1" x14ac:dyDescent="0.3">
      <c r="C82" s="24"/>
      <c r="D82" s="24"/>
      <c r="E82" s="24"/>
      <c r="F82" s="24"/>
      <c r="G82" s="24"/>
      <c r="H82" s="24"/>
    </row>
    <row r="83" spans="3:8" ht="15" customHeight="1" x14ac:dyDescent="0.3">
      <c r="C83" s="24"/>
      <c r="D83" s="24"/>
      <c r="E83" s="24"/>
      <c r="F83" s="24"/>
      <c r="G83" s="24"/>
      <c r="H83" s="24"/>
    </row>
    <row r="84" spans="3:8" ht="15" customHeight="1" x14ac:dyDescent="0.3">
      <c r="C84" s="24"/>
      <c r="D84" s="24"/>
      <c r="E84" s="24"/>
      <c r="F84" s="24"/>
      <c r="G84" s="24"/>
      <c r="H84" s="24"/>
    </row>
    <row r="85" spans="3:8" ht="15" customHeight="1" x14ac:dyDescent="0.3">
      <c r="C85" s="24"/>
      <c r="D85" s="24"/>
      <c r="E85" s="24"/>
      <c r="F85" s="24"/>
      <c r="G85" s="24"/>
      <c r="H85" s="24"/>
    </row>
    <row r="86" spans="3:8" ht="15" customHeight="1" x14ac:dyDescent="0.3">
      <c r="C86" s="24"/>
      <c r="D86" s="24"/>
      <c r="E86" s="24"/>
      <c r="F86" s="24"/>
      <c r="G86" s="24"/>
      <c r="H86" s="24"/>
    </row>
    <row r="87" spans="3:8" ht="15" customHeight="1" x14ac:dyDescent="0.3">
      <c r="C87" s="24"/>
      <c r="D87" s="24"/>
      <c r="E87" s="24"/>
      <c r="F87" s="24"/>
      <c r="G87" s="24"/>
      <c r="H87" s="24"/>
    </row>
    <row r="88" spans="3:8" ht="15" customHeight="1" x14ac:dyDescent="0.3">
      <c r="C88" s="24"/>
      <c r="D88" s="24"/>
      <c r="E88" s="24"/>
      <c r="F88" s="24"/>
      <c r="G88" s="24"/>
      <c r="H88" s="24"/>
    </row>
    <row r="89" spans="3:8" ht="15" customHeight="1" x14ac:dyDescent="0.3">
      <c r="C89" s="24"/>
      <c r="D89" s="24"/>
      <c r="E89" s="24"/>
      <c r="F89" s="24"/>
      <c r="G89" s="24"/>
      <c r="H89" s="24"/>
    </row>
    <row r="90" spans="3:8" ht="15" customHeight="1" x14ac:dyDescent="0.3">
      <c r="C90" s="24"/>
      <c r="D90" s="24"/>
      <c r="E90" s="24"/>
      <c r="F90" s="24"/>
      <c r="G90" s="24"/>
      <c r="H90" s="24"/>
    </row>
    <row r="91" spans="3:8" ht="15" customHeight="1" x14ac:dyDescent="0.3">
      <c r="C91" s="24"/>
      <c r="D91" s="24"/>
      <c r="E91" s="24"/>
      <c r="F91" s="24"/>
      <c r="G91" s="24"/>
      <c r="H91" s="24"/>
    </row>
    <row r="92" spans="3:8" ht="15" customHeight="1" x14ac:dyDescent="0.3">
      <c r="C92" s="24"/>
      <c r="D92" s="24"/>
      <c r="E92" s="24"/>
      <c r="F92" s="24"/>
      <c r="G92" s="24"/>
      <c r="H92" s="24"/>
    </row>
    <row r="93" spans="3:8" ht="15" customHeight="1" x14ac:dyDescent="0.3">
      <c r="C93" s="24"/>
      <c r="D93" s="24"/>
      <c r="E93" s="24"/>
      <c r="F93" s="24"/>
      <c r="G93" s="24"/>
      <c r="H93" s="24"/>
    </row>
    <row r="94" spans="3:8" ht="15" customHeight="1" x14ac:dyDescent="0.3">
      <c r="C94" s="24"/>
      <c r="D94" s="24"/>
      <c r="E94" s="24"/>
      <c r="F94" s="24"/>
      <c r="G94" s="24"/>
      <c r="H94" s="24"/>
    </row>
    <row r="95" spans="3:8" ht="15" customHeight="1" x14ac:dyDescent="0.3">
      <c r="C95" s="24"/>
      <c r="D95" s="24"/>
      <c r="E95" s="24"/>
      <c r="F95" s="24"/>
      <c r="G95" s="24"/>
      <c r="H95" s="24"/>
    </row>
    <row r="96" spans="3:8" ht="15" customHeight="1" x14ac:dyDescent="0.3">
      <c r="C96" s="24"/>
      <c r="D96" s="24"/>
      <c r="E96" s="24"/>
      <c r="F96" s="24"/>
      <c r="G96" s="24"/>
      <c r="H96" s="24"/>
    </row>
    <row r="97" spans="3:8" ht="15" customHeight="1" x14ac:dyDescent="0.3">
      <c r="C97" s="24"/>
      <c r="D97" s="24"/>
      <c r="E97" s="24"/>
      <c r="F97" s="24"/>
      <c r="G97" s="24"/>
      <c r="H97" s="24"/>
    </row>
    <row r="98" spans="3:8" ht="15" customHeight="1" x14ac:dyDescent="0.3">
      <c r="C98" s="24"/>
      <c r="D98" s="24"/>
      <c r="E98" s="24"/>
      <c r="F98" s="24"/>
      <c r="G98" s="24"/>
      <c r="H98" s="24"/>
    </row>
    <row r="99" spans="3:8" ht="15" customHeight="1" x14ac:dyDescent="0.3">
      <c r="C99" s="24"/>
      <c r="D99" s="24"/>
      <c r="E99" s="24"/>
      <c r="F99" s="24"/>
      <c r="G99" s="24"/>
      <c r="H99" s="24"/>
    </row>
    <row r="100" spans="3:8" ht="15" customHeight="1" x14ac:dyDescent="0.3">
      <c r="C100" s="24"/>
      <c r="D100" s="24"/>
      <c r="E100" s="24"/>
      <c r="F100" s="24"/>
      <c r="G100" s="24"/>
      <c r="H100" s="24"/>
    </row>
    <row r="101" spans="3:8" ht="15" customHeight="1" x14ac:dyDescent="0.3">
      <c r="C101" s="24"/>
      <c r="D101" s="24"/>
      <c r="E101" s="24"/>
      <c r="F101" s="24"/>
      <c r="G101" s="24"/>
      <c r="H101" s="24"/>
    </row>
    <row r="102" spans="3:8" ht="15" customHeight="1" x14ac:dyDescent="0.3">
      <c r="C102" s="24"/>
      <c r="D102" s="24"/>
      <c r="E102" s="24"/>
      <c r="F102" s="24"/>
      <c r="G102" s="24"/>
      <c r="H102" s="24"/>
    </row>
    <row r="103" spans="3:8" ht="15" customHeight="1" x14ac:dyDescent="0.3">
      <c r="C103" s="24"/>
      <c r="D103" s="24"/>
      <c r="E103" s="24"/>
      <c r="F103" s="24"/>
      <c r="G103" s="24"/>
      <c r="H103" s="24"/>
    </row>
    <row r="104" spans="3:8" ht="15" customHeight="1" x14ac:dyDescent="0.3">
      <c r="C104" s="24"/>
      <c r="D104" s="24"/>
      <c r="E104" s="24"/>
      <c r="F104" s="24"/>
      <c r="G104" s="24"/>
      <c r="H104" s="24"/>
    </row>
    <row r="105" spans="3:8" ht="15" customHeight="1" x14ac:dyDescent="0.3">
      <c r="C105" s="24"/>
      <c r="D105" s="24"/>
      <c r="E105" s="24"/>
      <c r="F105" s="24"/>
      <c r="G105" s="24"/>
      <c r="H105" s="24"/>
    </row>
    <row r="106" spans="3:8" ht="15" customHeight="1" x14ac:dyDescent="0.3">
      <c r="C106" s="24"/>
      <c r="D106" s="24"/>
      <c r="E106" s="24"/>
      <c r="F106" s="24"/>
      <c r="G106" s="24"/>
      <c r="H106" s="24"/>
    </row>
    <row r="107" spans="3:8" ht="15" customHeight="1" x14ac:dyDescent="0.3">
      <c r="C107" s="24"/>
      <c r="D107" s="24"/>
      <c r="E107" s="24"/>
      <c r="F107" s="24"/>
      <c r="G107" s="24"/>
      <c r="H107" s="24"/>
    </row>
    <row r="108" spans="3:8" ht="15" customHeight="1" x14ac:dyDescent="0.3">
      <c r="C108" s="24"/>
      <c r="D108" s="24"/>
      <c r="E108" s="24"/>
      <c r="F108" s="24"/>
      <c r="G108" s="24"/>
      <c r="H108" s="24"/>
    </row>
    <row r="109" spans="3:8" ht="15" customHeight="1" x14ac:dyDescent="0.3">
      <c r="C109" s="24"/>
      <c r="D109" s="24"/>
      <c r="E109" s="24"/>
      <c r="F109" s="24"/>
      <c r="G109" s="24"/>
      <c r="H109" s="24"/>
    </row>
    <row r="110" spans="3:8" ht="15" customHeight="1" x14ac:dyDescent="0.3">
      <c r="C110" s="24"/>
      <c r="D110" s="24"/>
      <c r="E110" s="24"/>
      <c r="F110" s="24"/>
      <c r="G110" s="24"/>
      <c r="H110" s="24"/>
    </row>
    <row r="111" spans="3:8" ht="15" customHeight="1" x14ac:dyDescent="0.3">
      <c r="C111" s="24"/>
      <c r="D111" s="24"/>
      <c r="E111" s="24"/>
      <c r="F111" s="24"/>
      <c r="G111" s="24"/>
      <c r="H111" s="24"/>
    </row>
    <row r="112" spans="3:8" ht="15" customHeight="1" x14ac:dyDescent="0.3">
      <c r="C112" s="24"/>
      <c r="D112" s="24"/>
      <c r="E112" s="24"/>
      <c r="F112" s="24"/>
      <c r="G112" s="24"/>
      <c r="H112" s="24"/>
    </row>
    <row r="113" spans="3:8" ht="15" customHeight="1" x14ac:dyDescent="0.3">
      <c r="C113" s="24"/>
      <c r="D113" s="24"/>
      <c r="E113" s="24"/>
      <c r="F113" s="24"/>
      <c r="G113" s="24"/>
      <c r="H113" s="24"/>
    </row>
    <row r="114" spans="3:8" ht="15" customHeight="1" x14ac:dyDescent="0.3">
      <c r="C114" s="24"/>
      <c r="D114" s="24"/>
      <c r="E114" s="24"/>
      <c r="F114" s="24"/>
      <c r="G114" s="24"/>
      <c r="H114" s="24"/>
    </row>
    <row r="115" spans="3:8" ht="15" customHeight="1" x14ac:dyDescent="0.3">
      <c r="C115" s="24"/>
      <c r="D115" s="24"/>
      <c r="E115" s="24"/>
      <c r="F115" s="24"/>
      <c r="G115" s="24"/>
      <c r="H115" s="24"/>
    </row>
    <row r="116" spans="3:8" ht="15" customHeight="1" x14ac:dyDescent="0.3">
      <c r="C116" s="24"/>
      <c r="D116" s="24"/>
      <c r="E116" s="24"/>
      <c r="F116" s="24"/>
      <c r="G116" s="24"/>
      <c r="H116" s="24"/>
    </row>
    <row r="117" spans="3:8" ht="15" customHeight="1" x14ac:dyDescent="0.3">
      <c r="C117" s="24"/>
      <c r="D117" s="24"/>
      <c r="E117" s="24"/>
      <c r="F117" s="24"/>
      <c r="G117" s="24"/>
      <c r="H117" s="24"/>
    </row>
    <row r="118" spans="3:8" ht="15" customHeight="1" x14ac:dyDescent="0.3">
      <c r="C118" s="24"/>
      <c r="D118" s="24"/>
      <c r="E118" s="24"/>
      <c r="F118" s="24"/>
      <c r="G118" s="24"/>
      <c r="H118" s="24"/>
    </row>
    <row r="119" spans="3:8" ht="15" customHeight="1" x14ac:dyDescent="0.3">
      <c r="C119" s="24"/>
      <c r="D119" s="24"/>
      <c r="E119" s="24"/>
      <c r="F119" s="24"/>
      <c r="G119" s="24"/>
      <c r="H119" s="24"/>
    </row>
    <row r="120" spans="3:8" ht="15" customHeight="1" x14ac:dyDescent="0.3">
      <c r="C120" s="24"/>
      <c r="D120" s="24"/>
      <c r="E120" s="24"/>
      <c r="F120" s="24"/>
      <c r="G120" s="24"/>
      <c r="H120" s="24"/>
    </row>
    <row r="121" spans="3:8" ht="15" customHeight="1" x14ac:dyDescent="0.3">
      <c r="C121" s="24"/>
      <c r="D121" s="24"/>
      <c r="E121" s="24"/>
      <c r="F121" s="24"/>
      <c r="G121" s="24"/>
      <c r="H121" s="24"/>
    </row>
    <row r="122" spans="3:8" ht="15" customHeight="1" x14ac:dyDescent="0.3">
      <c r="C122" s="24"/>
      <c r="D122" s="24"/>
      <c r="E122" s="24"/>
      <c r="F122" s="24"/>
      <c r="G122" s="24"/>
      <c r="H122" s="24"/>
    </row>
    <row r="123" spans="3:8" ht="15" customHeight="1" x14ac:dyDescent="0.3">
      <c r="C123" s="24"/>
      <c r="D123" s="24"/>
      <c r="E123" s="24"/>
      <c r="F123" s="24"/>
      <c r="G123" s="24"/>
      <c r="H123" s="24"/>
    </row>
    <row r="124" spans="3:8" ht="15" customHeight="1" x14ac:dyDescent="0.3">
      <c r="C124" s="24"/>
      <c r="D124" s="24"/>
      <c r="E124" s="24"/>
      <c r="F124" s="24"/>
      <c r="G124" s="24"/>
      <c r="H124" s="24"/>
    </row>
    <row r="125" spans="3:8" ht="15" customHeight="1" x14ac:dyDescent="0.3">
      <c r="C125" s="24"/>
      <c r="D125" s="24"/>
      <c r="E125" s="24"/>
      <c r="F125" s="24"/>
      <c r="G125" s="24"/>
      <c r="H125" s="24"/>
    </row>
    <row r="126" spans="3:8" ht="15" customHeight="1" x14ac:dyDescent="0.3">
      <c r="C126" s="24"/>
      <c r="D126" s="24"/>
      <c r="E126" s="24"/>
      <c r="F126" s="24"/>
      <c r="G126" s="24"/>
      <c r="H126" s="24"/>
    </row>
    <row r="127" spans="3:8" ht="15" customHeight="1" x14ac:dyDescent="0.3">
      <c r="C127" s="24"/>
      <c r="D127" s="24"/>
      <c r="E127" s="24"/>
      <c r="F127" s="24"/>
      <c r="G127" s="24"/>
      <c r="H127" s="24"/>
    </row>
    <row r="128" spans="3:8" ht="15" customHeight="1" x14ac:dyDescent="0.3">
      <c r="C128" s="24"/>
      <c r="D128" s="24"/>
      <c r="E128" s="24"/>
      <c r="F128" s="24"/>
      <c r="G128" s="24"/>
      <c r="H128" s="24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1AE0-F1AA-42FE-B40E-F99633E55F65}">
  <dimension ref="A1:Y128"/>
  <sheetViews>
    <sheetView zoomScale="66" workbookViewId="0">
      <selection activeCell="E69" sqref="E69"/>
    </sheetView>
  </sheetViews>
  <sheetFormatPr defaultRowHeight="14.4" x14ac:dyDescent="0.3"/>
  <cols>
    <col min="1" max="1" width="17" customWidth="1"/>
    <col min="2" max="2" width="123.5546875" customWidth="1"/>
    <col min="3" max="3" width="13.109375" customWidth="1"/>
    <col min="4" max="4" width="15.5546875" customWidth="1"/>
    <col min="5" max="5" width="11" customWidth="1"/>
    <col min="6" max="6" width="18.33203125" customWidth="1"/>
    <col min="7" max="7" width="14.5546875" customWidth="1"/>
    <col min="8" max="8" width="13" customWidth="1"/>
  </cols>
  <sheetData>
    <row r="1" spans="1:25" s="20" customFormat="1" ht="22.05" customHeight="1" thickBot="1" x14ac:dyDescent="0.3">
      <c r="B1" s="18" t="s">
        <v>30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37</v>
      </c>
      <c r="B2" s="16" t="s">
        <v>121</v>
      </c>
      <c r="C2" s="24"/>
      <c r="D2" s="24" t="s">
        <v>38</v>
      </c>
      <c r="E2" s="24"/>
      <c r="F2" s="24"/>
      <c r="G2" s="24"/>
      <c r="H2" s="24">
        <f>IF(C2="X",1)+IF(D2="X",2)+IF(E2="X",3)+IF(F2="X",4)+IF(G2="X",5)</f>
        <v>2</v>
      </c>
    </row>
    <row r="3" spans="1:25" ht="22.05" customHeight="1" thickBot="1" x14ac:dyDescent="0.35">
      <c r="A3" s="18" t="s">
        <v>39</v>
      </c>
      <c r="B3" s="16" t="s">
        <v>40</v>
      </c>
      <c r="C3" s="24"/>
      <c r="D3" s="24"/>
      <c r="E3" s="24" t="s">
        <v>38</v>
      </c>
      <c r="F3" s="24"/>
      <c r="G3" s="24"/>
      <c r="H3" s="24">
        <f>IF(C3="X",1)+IF(D3="X",2)+IF(E3="X",3)+IF(F3="X",4)+IF(G3="X",5)</f>
        <v>3</v>
      </c>
    </row>
    <row r="4" spans="1:25" ht="22.05" customHeight="1" thickBot="1" x14ac:dyDescent="0.35">
      <c r="B4" s="18" t="s">
        <v>41</v>
      </c>
      <c r="C4" s="24"/>
      <c r="D4" s="24"/>
      <c r="E4" s="24"/>
      <c r="F4" s="24"/>
      <c r="G4" s="24"/>
      <c r="H4" s="24"/>
    </row>
    <row r="5" spans="1:25" ht="22.05" customHeight="1" thickBot="1" x14ac:dyDescent="0.35">
      <c r="A5" s="18" t="s">
        <v>42</v>
      </c>
      <c r="B5" s="16" t="s">
        <v>123</v>
      </c>
      <c r="C5" s="24"/>
      <c r="D5" s="24"/>
      <c r="E5" s="24"/>
      <c r="F5" s="24" t="s">
        <v>38</v>
      </c>
      <c r="G5" s="24"/>
      <c r="H5" s="24">
        <f>IF(C5="X",1)+IF(D5="X",2)+IF(E5="X",3)+IF(F5="X",4)+IF(G5="X",5)</f>
        <v>4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  <c r="H7" s="24"/>
    </row>
    <row r="8" spans="1:25" ht="22.05" customHeight="1" thickBot="1" x14ac:dyDescent="0.35">
      <c r="A8" s="18" t="s">
        <v>43</v>
      </c>
      <c r="B8" s="16" t="s">
        <v>126</v>
      </c>
      <c r="C8" s="24"/>
      <c r="D8" s="24"/>
      <c r="E8" s="24"/>
      <c r="F8" s="24" t="s">
        <v>38</v>
      </c>
      <c r="G8" s="24"/>
      <c r="H8" s="24">
        <f t="shared" ref="H6:H69" si="0">IF(C8="X",1)+IF(D8="X",2)+IF(E8="X",3)+IF(F8="X",4)+IF(G8="X",5)</f>
        <v>4</v>
      </c>
    </row>
    <row r="9" spans="1:25" ht="22.05" customHeight="1" thickBot="1" x14ac:dyDescent="0.35">
      <c r="A9" s="18" t="s">
        <v>45</v>
      </c>
      <c r="B9" s="16" t="s">
        <v>44</v>
      </c>
      <c r="C9" s="24"/>
      <c r="D9" s="24" t="s">
        <v>38</v>
      </c>
      <c r="E9" s="24"/>
      <c r="F9" s="24"/>
      <c r="G9" s="24"/>
      <c r="H9" s="24">
        <f t="shared" si="0"/>
        <v>2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  <c r="H10" s="24"/>
    </row>
    <row r="11" spans="1:25" ht="22.05" customHeight="1" thickBot="1" x14ac:dyDescent="0.35">
      <c r="A11" s="18" t="s">
        <v>46</v>
      </c>
      <c r="B11" s="16" t="s">
        <v>124</v>
      </c>
      <c r="C11" s="24"/>
      <c r="D11" s="24"/>
      <c r="E11" s="24"/>
      <c r="F11" s="24"/>
      <c r="G11" s="24" t="s">
        <v>38</v>
      </c>
      <c r="H11" s="24">
        <f t="shared" si="0"/>
        <v>5</v>
      </c>
    </row>
    <row r="12" spans="1:25" ht="22.05" customHeight="1" thickBot="1" x14ac:dyDescent="0.35">
      <c r="B12" s="18" t="s">
        <v>47</v>
      </c>
      <c r="C12" s="24"/>
      <c r="D12" s="24"/>
      <c r="E12" s="24"/>
      <c r="F12" s="24"/>
      <c r="G12" s="24"/>
      <c r="H12" s="24"/>
    </row>
    <row r="13" spans="1:25" ht="22.05" customHeight="1" thickBot="1" x14ac:dyDescent="0.35">
      <c r="A13" s="18" t="s">
        <v>48</v>
      </c>
      <c r="B13" s="16" t="s">
        <v>125</v>
      </c>
      <c r="C13" s="24"/>
      <c r="D13" s="24"/>
      <c r="E13" s="24"/>
      <c r="F13" s="24" t="s">
        <v>38</v>
      </c>
      <c r="G13" s="24"/>
      <c r="H13" s="24">
        <f t="shared" si="0"/>
        <v>4</v>
      </c>
    </row>
    <row r="14" spans="1:25" ht="22.05" customHeight="1" thickBot="1" x14ac:dyDescent="0.35">
      <c r="A14" s="18" t="s">
        <v>49</v>
      </c>
      <c r="B14" s="16" t="s">
        <v>127</v>
      </c>
      <c r="C14" s="24"/>
      <c r="D14" s="24"/>
      <c r="E14" s="24"/>
      <c r="F14" s="24"/>
      <c r="G14" s="24" t="s">
        <v>38</v>
      </c>
      <c r="H14" s="24">
        <f t="shared" si="0"/>
        <v>5</v>
      </c>
    </row>
    <row r="15" spans="1:25" ht="22.05" customHeight="1" thickBot="1" x14ac:dyDescent="0.35">
      <c r="A15" s="21"/>
      <c r="B15" s="22"/>
      <c r="C15" s="25"/>
      <c r="D15" s="25"/>
      <c r="E15" s="25"/>
      <c r="F15" s="25"/>
      <c r="G15" s="25"/>
      <c r="H15" s="25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22.05" customHeight="1" thickBot="1" x14ac:dyDescent="0.35">
      <c r="B16" s="18" t="s">
        <v>30</v>
      </c>
      <c r="C16" s="24"/>
      <c r="D16" s="24"/>
      <c r="E16" s="24"/>
      <c r="F16" s="24"/>
      <c r="G16" s="24"/>
      <c r="H16" s="24"/>
    </row>
    <row r="17" spans="1:25" ht="22.05" customHeight="1" thickBot="1" x14ac:dyDescent="0.35">
      <c r="A17" s="18" t="s">
        <v>50</v>
      </c>
      <c r="B17" s="16" t="s">
        <v>128</v>
      </c>
      <c r="C17" s="24"/>
      <c r="D17" s="24"/>
      <c r="E17" s="24"/>
      <c r="F17" s="24" t="s">
        <v>38</v>
      </c>
      <c r="G17" s="24"/>
      <c r="H17" s="24">
        <f t="shared" si="0"/>
        <v>4</v>
      </c>
    </row>
    <row r="18" spans="1:25" ht="22.05" customHeight="1" thickBot="1" x14ac:dyDescent="0.35">
      <c r="A18" s="18" t="s">
        <v>51</v>
      </c>
      <c r="B18" s="16" t="s">
        <v>131</v>
      </c>
      <c r="C18" s="24"/>
      <c r="D18" s="24"/>
      <c r="E18" s="24" t="s">
        <v>38</v>
      </c>
      <c r="F18" s="24"/>
      <c r="G18" s="24"/>
      <c r="H18" s="24">
        <f t="shared" si="0"/>
        <v>3</v>
      </c>
    </row>
    <row r="19" spans="1:25" ht="22.05" customHeight="1" thickBot="1" x14ac:dyDescent="0.35">
      <c r="A19" s="18" t="s">
        <v>129</v>
      </c>
      <c r="B19" s="16" t="s">
        <v>52</v>
      </c>
      <c r="C19" s="24"/>
      <c r="D19" s="24"/>
      <c r="E19" s="24" t="s">
        <v>38</v>
      </c>
      <c r="F19" s="24"/>
      <c r="G19" s="24"/>
      <c r="H19" s="24">
        <f t="shared" si="0"/>
        <v>3</v>
      </c>
    </row>
    <row r="20" spans="1:25" ht="22.05" customHeight="1" thickBot="1" x14ac:dyDescent="0.35">
      <c r="A20" s="18" t="s">
        <v>130</v>
      </c>
      <c r="B20" s="16" t="s">
        <v>122</v>
      </c>
      <c r="C20" s="24"/>
      <c r="D20" s="24"/>
      <c r="E20" s="24" t="s">
        <v>38</v>
      </c>
      <c r="F20" s="24"/>
      <c r="G20" s="24"/>
      <c r="H20" s="24">
        <f t="shared" si="0"/>
        <v>3</v>
      </c>
    </row>
    <row r="21" spans="1:25" ht="22.05" customHeight="1" thickBot="1" x14ac:dyDescent="0.35">
      <c r="B21" s="18" t="s">
        <v>41</v>
      </c>
      <c r="C21" s="24"/>
      <c r="D21" s="24"/>
      <c r="E21" s="24"/>
      <c r="F21" s="24"/>
      <c r="G21" s="24"/>
      <c r="H21" s="24"/>
    </row>
    <row r="22" spans="1:25" ht="22.05" customHeight="1" thickBot="1" x14ac:dyDescent="0.35">
      <c r="A22" s="18" t="s">
        <v>53</v>
      </c>
      <c r="B22" s="16" t="s">
        <v>132</v>
      </c>
      <c r="C22" s="24"/>
      <c r="D22" s="24"/>
      <c r="E22" s="24"/>
      <c r="F22" s="24" t="s">
        <v>38</v>
      </c>
      <c r="G22" s="24"/>
      <c r="H22" s="24">
        <f t="shared" si="0"/>
        <v>4</v>
      </c>
    </row>
    <row r="23" spans="1:25" ht="22.05" customHeight="1" thickBot="1" x14ac:dyDescent="0.35">
      <c r="B23" s="18" t="s">
        <v>47</v>
      </c>
      <c r="C23" s="24"/>
      <c r="D23" s="24"/>
      <c r="E23" s="24"/>
      <c r="F23" s="24"/>
      <c r="G23" s="24"/>
      <c r="H23" s="24"/>
    </row>
    <row r="24" spans="1:25" ht="22.05" customHeight="1" thickBot="1" x14ac:dyDescent="0.35">
      <c r="A24" s="18" t="s">
        <v>54</v>
      </c>
      <c r="B24" s="16" t="s">
        <v>55</v>
      </c>
      <c r="C24" s="24"/>
      <c r="D24" s="24" t="s">
        <v>38</v>
      </c>
      <c r="E24" s="24"/>
      <c r="F24" s="24"/>
      <c r="G24" s="24"/>
      <c r="H24" s="24">
        <f t="shared" si="0"/>
        <v>2</v>
      </c>
    </row>
    <row r="25" spans="1:25" ht="22.05" customHeight="1" thickBot="1" x14ac:dyDescent="0.35">
      <c r="A25" s="21"/>
      <c r="B25" s="22"/>
      <c r="C25" s="25"/>
      <c r="D25" s="25"/>
      <c r="E25" s="25"/>
      <c r="F25" s="25"/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22.05" customHeight="1" thickBot="1" x14ac:dyDescent="0.35">
      <c r="B26" s="18" t="s">
        <v>41</v>
      </c>
      <c r="C26" s="24"/>
      <c r="D26" s="24"/>
      <c r="E26" s="24"/>
      <c r="F26" s="24"/>
      <c r="G26" s="24"/>
      <c r="H26" s="24"/>
    </row>
    <row r="27" spans="1:25" ht="22.05" customHeight="1" thickBot="1" x14ac:dyDescent="0.35">
      <c r="A27" s="18" t="s">
        <v>56</v>
      </c>
      <c r="B27" s="16" t="s">
        <v>57</v>
      </c>
      <c r="C27" s="24"/>
      <c r="D27" s="24"/>
      <c r="E27" s="24"/>
      <c r="F27" s="24" t="s">
        <v>38</v>
      </c>
      <c r="G27" s="24"/>
      <c r="H27" s="24">
        <f t="shared" si="0"/>
        <v>4</v>
      </c>
    </row>
    <row r="28" spans="1:25" ht="22.05" customHeight="1" thickBot="1" x14ac:dyDescent="0.35">
      <c r="A28" s="18" t="s">
        <v>133</v>
      </c>
      <c r="B28" s="16" t="s">
        <v>136</v>
      </c>
      <c r="C28" s="24"/>
      <c r="D28" s="24"/>
      <c r="E28" s="24"/>
      <c r="F28" s="24"/>
      <c r="G28" s="24" t="s">
        <v>38</v>
      </c>
      <c r="H28" s="24">
        <f t="shared" si="0"/>
        <v>5</v>
      </c>
    </row>
    <row r="29" spans="1:25" ht="22.05" customHeight="1" thickBot="1" x14ac:dyDescent="0.35">
      <c r="B29" s="18" t="s">
        <v>58</v>
      </c>
      <c r="C29" s="24"/>
      <c r="D29" s="24"/>
      <c r="E29" s="24"/>
      <c r="F29" s="24"/>
      <c r="G29" s="24"/>
      <c r="H29" s="24"/>
    </row>
    <row r="30" spans="1:25" ht="22.05" customHeight="1" thickBot="1" x14ac:dyDescent="0.35">
      <c r="A30" s="18" t="s">
        <v>59</v>
      </c>
      <c r="B30" s="16" t="s">
        <v>134</v>
      </c>
      <c r="C30" s="24"/>
      <c r="D30" s="24"/>
      <c r="E30" s="24" t="s">
        <v>38</v>
      </c>
      <c r="F30" s="24"/>
      <c r="G30" s="24"/>
      <c r="H30" s="24">
        <f t="shared" si="0"/>
        <v>3</v>
      </c>
    </row>
    <row r="31" spans="1:25" ht="22.05" customHeight="1" thickBot="1" x14ac:dyDescent="0.35">
      <c r="A31" s="18" t="s">
        <v>60</v>
      </c>
      <c r="B31" s="16" t="s">
        <v>135</v>
      </c>
      <c r="C31" s="24"/>
      <c r="D31" s="24"/>
      <c r="E31" s="24" t="s">
        <v>38</v>
      </c>
      <c r="F31" s="24"/>
      <c r="G31" s="24"/>
      <c r="H31" s="24">
        <f t="shared" si="0"/>
        <v>3</v>
      </c>
    </row>
    <row r="32" spans="1:25" ht="22.05" customHeight="1" thickBot="1" x14ac:dyDescent="0.35">
      <c r="B32" s="18" t="s">
        <v>47</v>
      </c>
      <c r="C32" s="24"/>
      <c r="D32" s="24"/>
      <c r="E32" s="24"/>
      <c r="F32" s="24"/>
      <c r="G32" s="24"/>
      <c r="H32" s="24"/>
    </row>
    <row r="33" spans="1:25" ht="22.05" customHeight="1" thickBot="1" x14ac:dyDescent="0.35">
      <c r="A33" s="18" t="s">
        <v>61</v>
      </c>
      <c r="B33" s="16" t="s">
        <v>62</v>
      </c>
      <c r="C33" s="24"/>
      <c r="D33" s="24"/>
      <c r="E33" s="24" t="s">
        <v>38</v>
      </c>
      <c r="F33" s="24"/>
      <c r="G33" s="24"/>
      <c r="H33" s="24">
        <f t="shared" si="0"/>
        <v>3</v>
      </c>
    </row>
    <row r="34" spans="1:25" ht="22.05" customHeight="1" thickBot="1" x14ac:dyDescent="0.35">
      <c r="A34" s="18" t="s">
        <v>63</v>
      </c>
      <c r="B34" s="16" t="s">
        <v>137</v>
      </c>
      <c r="C34" s="24"/>
      <c r="D34" s="24"/>
      <c r="E34" s="24" t="s">
        <v>38</v>
      </c>
      <c r="F34" s="24"/>
      <c r="G34" s="24"/>
      <c r="H34" s="24">
        <f t="shared" si="0"/>
        <v>3</v>
      </c>
    </row>
    <row r="35" spans="1:25" ht="22.05" customHeight="1" thickBot="1" x14ac:dyDescent="0.35">
      <c r="A35" s="18" t="s">
        <v>64</v>
      </c>
      <c r="B35" s="16" t="s">
        <v>138</v>
      </c>
      <c r="C35" s="24"/>
      <c r="D35" s="24"/>
      <c r="E35" s="24"/>
      <c r="F35" s="24" t="s">
        <v>38</v>
      </c>
      <c r="G35" s="24"/>
      <c r="H35" s="24">
        <f t="shared" si="0"/>
        <v>4</v>
      </c>
    </row>
    <row r="36" spans="1:25" ht="22.05" customHeight="1" thickBot="1" x14ac:dyDescent="0.35">
      <c r="A36" s="21"/>
      <c r="B36" s="22"/>
      <c r="C36" s="25"/>
      <c r="D36" s="25"/>
      <c r="E36" s="25"/>
      <c r="F36" s="25"/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22.05" customHeight="1" thickBot="1" x14ac:dyDescent="0.35">
      <c r="B37" s="18" t="s">
        <v>41</v>
      </c>
      <c r="C37" s="24"/>
      <c r="D37" s="24"/>
      <c r="E37" s="24"/>
      <c r="F37" s="24"/>
      <c r="G37" s="24"/>
      <c r="H37" s="24"/>
    </row>
    <row r="38" spans="1:25" ht="22.05" customHeight="1" thickBot="1" x14ac:dyDescent="0.35">
      <c r="A38" s="18" t="s">
        <v>65</v>
      </c>
      <c r="B38" s="16" t="s">
        <v>66</v>
      </c>
      <c r="C38" s="24"/>
      <c r="D38" s="24"/>
      <c r="E38" s="24"/>
      <c r="F38" s="24" t="s">
        <v>38</v>
      </c>
      <c r="G38" s="24"/>
      <c r="H38" s="24">
        <f t="shared" si="0"/>
        <v>4</v>
      </c>
    </row>
    <row r="39" spans="1:25" ht="22.05" customHeight="1" thickBot="1" x14ac:dyDescent="0.35">
      <c r="A39" s="18" t="s">
        <v>67</v>
      </c>
      <c r="B39" s="16" t="s">
        <v>139</v>
      </c>
      <c r="C39" s="24"/>
      <c r="D39" s="24"/>
      <c r="E39" s="24"/>
      <c r="F39" s="24"/>
      <c r="G39" s="24" t="s">
        <v>38</v>
      </c>
      <c r="H39" s="24">
        <f t="shared" si="0"/>
        <v>5</v>
      </c>
    </row>
    <row r="40" spans="1:25" ht="22.05" customHeight="1" thickBot="1" x14ac:dyDescent="0.35">
      <c r="B40" s="18" t="s">
        <v>58</v>
      </c>
      <c r="C40" s="24"/>
      <c r="D40" s="24"/>
      <c r="E40" s="24"/>
      <c r="F40" s="24"/>
      <c r="G40" s="24"/>
      <c r="H40" s="24"/>
    </row>
    <row r="41" spans="1:25" ht="22.05" customHeight="1" thickBot="1" x14ac:dyDescent="0.35">
      <c r="A41" s="18" t="s">
        <v>68</v>
      </c>
      <c r="B41" s="16" t="s">
        <v>140</v>
      </c>
      <c r="C41" s="24"/>
      <c r="D41" s="24" t="s">
        <v>38</v>
      </c>
      <c r="E41" s="24"/>
      <c r="F41" s="24"/>
      <c r="G41" s="24"/>
      <c r="H41" s="24">
        <f t="shared" si="0"/>
        <v>2</v>
      </c>
    </row>
    <row r="42" spans="1:25" ht="22.05" customHeight="1" thickBot="1" x14ac:dyDescent="0.35">
      <c r="A42" s="18" t="s">
        <v>69</v>
      </c>
      <c r="B42" s="16" t="s">
        <v>141</v>
      </c>
      <c r="C42" s="24"/>
      <c r="D42" s="24"/>
      <c r="E42" s="24"/>
      <c r="F42" s="24" t="s">
        <v>38</v>
      </c>
      <c r="G42" s="24"/>
      <c r="H42" s="24">
        <f t="shared" si="0"/>
        <v>4</v>
      </c>
    </row>
    <row r="43" spans="1:25" ht="22.05" customHeight="1" thickBot="1" x14ac:dyDescent="0.35">
      <c r="A43" s="18" t="s">
        <v>142</v>
      </c>
      <c r="B43" s="16" t="s">
        <v>143</v>
      </c>
      <c r="C43" s="24"/>
      <c r="D43" s="24"/>
      <c r="E43" s="24"/>
      <c r="F43" s="24"/>
      <c r="G43" s="24" t="s">
        <v>38</v>
      </c>
      <c r="H43" s="24">
        <f t="shared" si="0"/>
        <v>5</v>
      </c>
    </row>
    <row r="44" spans="1:25" ht="22.05" customHeight="1" thickBot="1" x14ac:dyDescent="0.35">
      <c r="A44" s="21"/>
      <c r="B44" s="22"/>
      <c r="C44" s="25"/>
      <c r="D44" s="25"/>
      <c r="E44" s="25"/>
      <c r="F44" s="25"/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2.05" customHeight="1" thickBot="1" x14ac:dyDescent="0.35">
      <c r="B45" s="18" t="s">
        <v>30</v>
      </c>
      <c r="C45" s="24"/>
      <c r="D45" s="24"/>
      <c r="E45" s="24"/>
      <c r="F45" s="24"/>
      <c r="G45" s="24"/>
      <c r="H45" s="24"/>
    </row>
    <row r="46" spans="1:25" ht="22.05" customHeight="1" thickBot="1" x14ac:dyDescent="0.35">
      <c r="A46" s="18" t="s">
        <v>70</v>
      </c>
      <c r="B46" s="16" t="s">
        <v>71</v>
      </c>
      <c r="C46" s="24"/>
      <c r="D46" s="24"/>
      <c r="E46" s="24"/>
      <c r="F46" s="24" t="s">
        <v>38</v>
      </c>
      <c r="G46" s="24"/>
      <c r="H46" s="24">
        <f t="shared" si="0"/>
        <v>4</v>
      </c>
    </row>
    <row r="47" spans="1:25" ht="22.05" customHeight="1" thickBot="1" x14ac:dyDescent="0.35">
      <c r="A47" s="18" t="s">
        <v>72</v>
      </c>
      <c r="B47" s="16" t="s">
        <v>144</v>
      </c>
      <c r="C47" s="24"/>
      <c r="D47" s="24"/>
      <c r="E47" s="24"/>
      <c r="F47" s="24"/>
      <c r="G47" s="24" t="s">
        <v>38</v>
      </c>
      <c r="H47" s="24">
        <f t="shared" si="0"/>
        <v>5</v>
      </c>
    </row>
    <row r="48" spans="1:25" ht="22.05" customHeight="1" thickBot="1" x14ac:dyDescent="0.35">
      <c r="B48" s="18" t="s">
        <v>47</v>
      </c>
      <c r="C48" s="24"/>
      <c r="D48" s="24"/>
      <c r="E48" s="24"/>
      <c r="F48" s="24"/>
      <c r="G48" s="24"/>
      <c r="H48" s="24"/>
    </row>
    <row r="49" spans="1:25" ht="22.05" customHeight="1" thickBot="1" x14ac:dyDescent="0.35">
      <c r="A49" s="18" t="s">
        <v>73</v>
      </c>
      <c r="B49" s="16" t="s">
        <v>145</v>
      </c>
      <c r="C49" s="24"/>
      <c r="D49" s="24"/>
      <c r="E49" s="24"/>
      <c r="F49" s="24" t="s">
        <v>38</v>
      </c>
      <c r="G49" s="24"/>
      <c r="H49" s="24">
        <f t="shared" si="0"/>
        <v>4</v>
      </c>
    </row>
    <row r="50" spans="1:25" ht="22.05" customHeight="1" thickBot="1" x14ac:dyDescent="0.35">
      <c r="A50" s="21"/>
      <c r="B50" s="22"/>
      <c r="C50" s="25"/>
      <c r="D50" s="25"/>
      <c r="E50" s="25"/>
      <c r="F50" s="25"/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2.05" customHeight="1" thickBot="1" x14ac:dyDescent="0.35">
      <c r="B51" s="18" t="s">
        <v>30</v>
      </c>
      <c r="C51" s="24"/>
      <c r="D51" s="24"/>
      <c r="E51" s="24"/>
      <c r="F51" s="24"/>
      <c r="G51" s="24"/>
      <c r="H51" s="24"/>
    </row>
    <row r="52" spans="1:25" ht="22.05" customHeight="1" thickBot="1" x14ac:dyDescent="0.35">
      <c r="A52" s="18" t="s">
        <v>74</v>
      </c>
      <c r="B52" s="16" t="s">
        <v>146</v>
      </c>
      <c r="C52" s="24"/>
      <c r="D52" s="24"/>
      <c r="E52" s="24" t="s">
        <v>38</v>
      </c>
      <c r="F52" s="24"/>
      <c r="G52" s="24"/>
      <c r="H52" s="24">
        <f t="shared" si="0"/>
        <v>3</v>
      </c>
    </row>
    <row r="53" spans="1:25" ht="22.05" customHeight="1" thickBot="1" x14ac:dyDescent="0.35">
      <c r="A53" s="18" t="s">
        <v>75</v>
      </c>
      <c r="B53" s="16" t="s">
        <v>147</v>
      </c>
      <c r="C53" s="24"/>
      <c r="D53" s="24" t="s">
        <v>38</v>
      </c>
      <c r="E53" s="24"/>
      <c r="F53" s="24"/>
      <c r="G53" s="24"/>
      <c r="H53" s="24">
        <f t="shared" si="0"/>
        <v>2</v>
      </c>
    </row>
    <row r="54" spans="1:25" ht="22.05" customHeight="1" thickBot="1" x14ac:dyDescent="0.35">
      <c r="B54" s="18" t="s">
        <v>41</v>
      </c>
      <c r="C54" s="24"/>
      <c r="D54" s="24"/>
      <c r="E54" s="24"/>
      <c r="F54" s="24"/>
      <c r="G54" s="24"/>
      <c r="H54" s="24"/>
    </row>
    <row r="55" spans="1:25" ht="22.05" customHeight="1" thickBot="1" x14ac:dyDescent="0.35">
      <c r="A55" s="18" t="s">
        <v>76</v>
      </c>
      <c r="B55" s="16" t="s">
        <v>148</v>
      </c>
      <c r="C55" s="24"/>
      <c r="D55" s="24"/>
      <c r="E55" s="24" t="s">
        <v>38</v>
      </c>
      <c r="F55" s="24"/>
      <c r="G55" s="24"/>
      <c r="H55" s="24">
        <f t="shared" si="0"/>
        <v>3</v>
      </c>
    </row>
    <row r="56" spans="1:25" ht="22.05" customHeight="1" thickBot="1" x14ac:dyDescent="0.35">
      <c r="B56" s="18" t="s">
        <v>58</v>
      </c>
      <c r="C56" s="24"/>
      <c r="D56" s="24"/>
      <c r="E56" s="24"/>
      <c r="F56" s="24"/>
      <c r="G56" s="24"/>
      <c r="H56" s="24"/>
    </row>
    <row r="57" spans="1:25" ht="22.05" customHeight="1" thickBot="1" x14ac:dyDescent="0.35">
      <c r="A57" s="18" t="s">
        <v>77</v>
      </c>
      <c r="B57" s="16" t="s">
        <v>151</v>
      </c>
      <c r="C57" s="24"/>
      <c r="D57" s="24"/>
      <c r="E57" s="24"/>
      <c r="F57" s="24" t="s">
        <v>38</v>
      </c>
      <c r="G57" s="24"/>
      <c r="H57" s="24">
        <f t="shared" si="0"/>
        <v>4</v>
      </c>
    </row>
    <row r="58" spans="1:25" ht="22.05" customHeight="1" thickBot="1" x14ac:dyDescent="0.35">
      <c r="A58" s="18" t="s">
        <v>78</v>
      </c>
      <c r="B58" s="16" t="s">
        <v>149</v>
      </c>
      <c r="C58" s="24"/>
      <c r="D58" s="24"/>
      <c r="E58" s="24"/>
      <c r="F58" s="24" t="s">
        <v>38</v>
      </c>
      <c r="G58" s="24"/>
      <c r="H58" s="24">
        <f t="shared" si="0"/>
        <v>4</v>
      </c>
    </row>
    <row r="59" spans="1:25" ht="22.05" customHeight="1" thickBot="1" x14ac:dyDescent="0.35">
      <c r="B59" s="18" t="s">
        <v>47</v>
      </c>
      <c r="C59" s="24"/>
      <c r="D59" s="24"/>
      <c r="E59" s="24"/>
      <c r="F59" s="24"/>
      <c r="G59" s="24"/>
      <c r="H59" s="24"/>
    </row>
    <row r="60" spans="1:25" ht="22.05" customHeight="1" thickBot="1" x14ac:dyDescent="0.35">
      <c r="A60" s="18" t="s">
        <v>79</v>
      </c>
      <c r="B60" s="16" t="s">
        <v>150</v>
      </c>
      <c r="C60" s="24"/>
      <c r="D60" s="24"/>
      <c r="E60" s="24"/>
      <c r="F60" s="24" t="s">
        <v>38</v>
      </c>
      <c r="G60" s="24"/>
      <c r="H60" s="24">
        <f t="shared" si="0"/>
        <v>4</v>
      </c>
    </row>
    <row r="61" spans="1:25" ht="22.05" customHeight="1" thickBot="1" x14ac:dyDescent="0.35">
      <c r="A61" s="21"/>
      <c r="B61" s="22"/>
      <c r="C61" s="25"/>
      <c r="D61" s="25"/>
      <c r="E61" s="25"/>
      <c r="F61" s="25"/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22.05" customHeight="1" thickBot="1" x14ac:dyDescent="0.35">
      <c r="B62" s="18" t="s">
        <v>30</v>
      </c>
      <c r="C62" s="24"/>
      <c r="D62" s="24"/>
      <c r="E62" s="24"/>
      <c r="F62" s="24"/>
      <c r="G62" s="24"/>
      <c r="H62" s="24"/>
    </row>
    <row r="63" spans="1:25" ht="22.05" customHeight="1" thickBot="1" x14ac:dyDescent="0.35">
      <c r="A63" s="18" t="s">
        <v>80</v>
      </c>
      <c r="B63" s="16" t="s">
        <v>152</v>
      </c>
      <c r="C63" s="24"/>
      <c r="D63" s="24"/>
      <c r="E63" s="24" t="s">
        <v>38</v>
      </c>
      <c r="F63" s="24"/>
      <c r="G63" s="24"/>
      <c r="H63" s="24">
        <f t="shared" si="0"/>
        <v>3</v>
      </c>
    </row>
    <row r="64" spans="1:25" ht="22.05" customHeight="1" thickBot="1" x14ac:dyDescent="0.35">
      <c r="B64" s="18" t="s">
        <v>41</v>
      </c>
      <c r="C64" s="24"/>
      <c r="D64" s="24"/>
      <c r="E64" s="24"/>
      <c r="F64" s="24"/>
      <c r="G64" s="24"/>
      <c r="H64" s="24"/>
    </row>
    <row r="65" spans="1:8" ht="22.05" customHeight="1" thickBot="1" x14ac:dyDescent="0.35">
      <c r="A65" s="18" t="s">
        <v>81</v>
      </c>
      <c r="B65" s="16" t="s">
        <v>153</v>
      </c>
      <c r="C65" s="24"/>
      <c r="D65" s="24"/>
      <c r="E65" s="24"/>
      <c r="F65" s="24"/>
      <c r="G65" s="24" t="s">
        <v>38</v>
      </c>
      <c r="H65" s="24">
        <f t="shared" si="0"/>
        <v>5</v>
      </c>
    </row>
    <row r="66" spans="1:8" ht="22.05" customHeight="1" thickBot="1" x14ac:dyDescent="0.35">
      <c r="B66" s="18" t="s">
        <v>58</v>
      </c>
      <c r="C66" s="24"/>
      <c r="D66" s="24"/>
      <c r="E66" s="24"/>
      <c r="F66" s="24"/>
      <c r="G66" s="24"/>
      <c r="H66" s="24"/>
    </row>
    <row r="67" spans="1:8" ht="22.05" customHeight="1" thickBot="1" x14ac:dyDescent="0.35">
      <c r="A67" s="18" t="s">
        <v>82</v>
      </c>
      <c r="B67" s="16" t="s">
        <v>154</v>
      </c>
      <c r="C67" s="24"/>
      <c r="D67" s="24"/>
      <c r="E67" s="24"/>
      <c r="F67" s="24" t="s">
        <v>38</v>
      </c>
      <c r="G67" s="24"/>
      <c r="H67" s="24">
        <f t="shared" si="0"/>
        <v>4</v>
      </c>
    </row>
    <row r="68" spans="1:8" ht="22.05" customHeight="1" thickBot="1" x14ac:dyDescent="0.35">
      <c r="B68" s="18" t="s">
        <v>47</v>
      </c>
      <c r="C68" s="24"/>
      <c r="D68" s="24"/>
      <c r="E68" s="24"/>
      <c r="F68" s="24"/>
      <c r="G68" s="24"/>
      <c r="H68" s="24"/>
    </row>
    <row r="69" spans="1:8" ht="22.05" customHeight="1" thickBot="1" x14ac:dyDescent="0.35">
      <c r="A69" s="18" t="s">
        <v>83</v>
      </c>
      <c r="B69" s="16" t="s">
        <v>155</v>
      </c>
      <c r="C69" s="24"/>
      <c r="D69" s="24" t="s">
        <v>38</v>
      </c>
      <c r="E69" s="24"/>
      <c r="F69" s="24"/>
      <c r="G69" s="24"/>
      <c r="H69" s="24">
        <f t="shared" si="0"/>
        <v>2</v>
      </c>
    </row>
    <row r="70" spans="1:8" ht="22.05" customHeight="1" x14ac:dyDescent="0.3">
      <c r="C70" s="24"/>
      <c r="D70" s="24"/>
      <c r="E70" s="24"/>
      <c r="F70" s="24"/>
      <c r="G70" s="24"/>
      <c r="H70" s="24"/>
    </row>
    <row r="71" spans="1:8" ht="22.05" customHeight="1" x14ac:dyDescent="0.3">
      <c r="C71" s="24"/>
      <c r="D71" s="24"/>
      <c r="E71" s="24"/>
      <c r="F71" s="24"/>
      <c r="G71" s="24"/>
      <c r="H71" s="24"/>
    </row>
    <row r="72" spans="1:8" ht="22.05" customHeight="1" x14ac:dyDescent="0.3">
      <c r="C72" s="24"/>
      <c r="D72" s="24"/>
      <c r="E72" s="24"/>
      <c r="F72" s="24"/>
      <c r="G72" s="24"/>
      <c r="H72" s="24"/>
    </row>
    <row r="73" spans="1:8" ht="15" customHeight="1" x14ac:dyDescent="0.3">
      <c r="C73" s="24"/>
      <c r="D73" s="24"/>
      <c r="E73" s="24"/>
      <c r="F73" s="24"/>
      <c r="G73" s="24"/>
      <c r="H73" s="24"/>
    </row>
    <row r="74" spans="1:8" ht="15" customHeight="1" x14ac:dyDescent="0.3">
      <c r="C74" s="24"/>
      <c r="D74" s="24"/>
      <c r="E74" s="24"/>
      <c r="F74" s="24"/>
      <c r="G74" s="24"/>
      <c r="H74" s="24"/>
    </row>
    <row r="75" spans="1:8" ht="15" customHeight="1" x14ac:dyDescent="0.3">
      <c r="C75" s="24"/>
      <c r="D75" s="24"/>
      <c r="E75" s="24"/>
      <c r="F75" s="24"/>
      <c r="G75" s="24"/>
      <c r="H75" s="24"/>
    </row>
    <row r="76" spans="1:8" ht="15" customHeight="1" x14ac:dyDescent="0.3">
      <c r="C76" s="24"/>
      <c r="D76" s="24"/>
      <c r="E76" s="24"/>
      <c r="F76" s="24"/>
      <c r="G76" s="24"/>
      <c r="H76" s="24"/>
    </row>
    <row r="77" spans="1:8" ht="15" customHeight="1" x14ac:dyDescent="0.3">
      <c r="C77" s="24"/>
      <c r="D77" s="24"/>
      <c r="E77" s="24"/>
      <c r="F77" s="24"/>
      <c r="G77" s="24"/>
      <c r="H77" s="24"/>
    </row>
    <row r="78" spans="1:8" ht="15" customHeight="1" x14ac:dyDescent="0.3">
      <c r="C78" s="24"/>
      <c r="D78" s="24"/>
      <c r="E78" s="24"/>
      <c r="F78" s="24"/>
      <c r="G78" s="24"/>
      <c r="H78" s="24"/>
    </row>
    <row r="79" spans="1:8" ht="15" customHeight="1" x14ac:dyDescent="0.3">
      <c r="C79" s="24"/>
      <c r="D79" s="24"/>
      <c r="E79" s="24"/>
      <c r="F79" s="24"/>
      <c r="G79" s="24"/>
      <c r="H79" s="24"/>
    </row>
    <row r="80" spans="1:8" ht="15" customHeight="1" x14ac:dyDescent="0.3">
      <c r="C80" s="24"/>
      <c r="D80" s="24"/>
      <c r="E80" s="24"/>
      <c r="F80" s="24"/>
      <c r="G80" s="24"/>
      <c r="H80" s="24"/>
    </row>
    <row r="81" spans="3:8" ht="15" customHeight="1" x14ac:dyDescent="0.3">
      <c r="C81" s="24"/>
      <c r="D81" s="24"/>
      <c r="E81" s="24"/>
      <c r="F81" s="24"/>
      <c r="G81" s="24"/>
      <c r="H81" s="24"/>
    </row>
    <row r="82" spans="3:8" ht="15" customHeight="1" x14ac:dyDescent="0.3">
      <c r="C82" s="24"/>
      <c r="D82" s="24"/>
      <c r="E82" s="24"/>
      <c r="F82" s="24"/>
      <c r="G82" s="24"/>
      <c r="H82" s="24"/>
    </row>
    <row r="83" spans="3:8" ht="15" customHeight="1" x14ac:dyDescent="0.3">
      <c r="C83" s="24"/>
      <c r="D83" s="24"/>
      <c r="E83" s="24"/>
      <c r="F83" s="24"/>
      <c r="G83" s="24"/>
      <c r="H83" s="24"/>
    </row>
    <row r="84" spans="3:8" ht="15" customHeight="1" x14ac:dyDescent="0.3">
      <c r="C84" s="24"/>
      <c r="D84" s="24"/>
      <c r="E84" s="24"/>
      <c r="F84" s="24"/>
      <c r="G84" s="24"/>
      <c r="H84" s="24"/>
    </row>
    <row r="85" spans="3:8" ht="15" customHeight="1" x14ac:dyDescent="0.3">
      <c r="C85" s="24"/>
      <c r="D85" s="24"/>
      <c r="E85" s="24"/>
      <c r="F85" s="24"/>
      <c r="G85" s="24"/>
      <c r="H85" s="24"/>
    </row>
    <row r="86" spans="3:8" ht="15" customHeight="1" x14ac:dyDescent="0.3">
      <c r="C86" s="24"/>
      <c r="D86" s="24"/>
      <c r="E86" s="24"/>
      <c r="F86" s="24"/>
      <c r="G86" s="24"/>
      <c r="H86" s="24"/>
    </row>
    <row r="87" spans="3:8" ht="15" customHeight="1" x14ac:dyDescent="0.3">
      <c r="C87" s="24"/>
      <c r="D87" s="24"/>
      <c r="E87" s="24"/>
      <c r="F87" s="24"/>
      <c r="G87" s="24"/>
      <c r="H87" s="24"/>
    </row>
    <row r="88" spans="3:8" ht="15" customHeight="1" x14ac:dyDescent="0.3">
      <c r="C88" s="24"/>
      <c r="D88" s="24"/>
      <c r="E88" s="24"/>
      <c r="F88" s="24"/>
      <c r="G88" s="24"/>
      <c r="H88" s="24"/>
    </row>
    <row r="89" spans="3:8" ht="15" customHeight="1" x14ac:dyDescent="0.3">
      <c r="C89" s="24"/>
      <c r="D89" s="24"/>
      <c r="E89" s="24"/>
      <c r="F89" s="24"/>
      <c r="G89" s="24"/>
      <c r="H89" s="24"/>
    </row>
    <row r="90" spans="3:8" ht="15" customHeight="1" x14ac:dyDescent="0.3">
      <c r="C90" s="24"/>
      <c r="D90" s="24"/>
      <c r="E90" s="24"/>
      <c r="F90" s="24"/>
      <c r="G90" s="24"/>
      <c r="H90" s="24"/>
    </row>
    <row r="91" spans="3:8" ht="15" customHeight="1" x14ac:dyDescent="0.3">
      <c r="C91" s="24"/>
      <c r="D91" s="24"/>
      <c r="E91" s="24"/>
      <c r="F91" s="24"/>
      <c r="G91" s="24"/>
      <c r="H91" s="24"/>
    </row>
    <row r="92" spans="3:8" ht="15" customHeight="1" x14ac:dyDescent="0.3">
      <c r="C92" s="24"/>
      <c r="D92" s="24"/>
      <c r="E92" s="24"/>
      <c r="F92" s="24"/>
      <c r="G92" s="24"/>
      <c r="H92" s="24"/>
    </row>
    <row r="93" spans="3:8" ht="15" customHeight="1" x14ac:dyDescent="0.3">
      <c r="C93" s="24"/>
      <c r="D93" s="24"/>
      <c r="E93" s="24"/>
      <c r="F93" s="24"/>
      <c r="G93" s="24"/>
      <c r="H93" s="24"/>
    </row>
    <row r="94" spans="3:8" ht="15" customHeight="1" x14ac:dyDescent="0.3">
      <c r="C94" s="24"/>
      <c r="D94" s="24"/>
      <c r="E94" s="24"/>
      <c r="F94" s="24"/>
      <c r="G94" s="24"/>
      <c r="H94" s="24"/>
    </row>
    <row r="95" spans="3:8" ht="15" customHeight="1" x14ac:dyDescent="0.3">
      <c r="C95" s="24"/>
      <c r="D95" s="24"/>
      <c r="E95" s="24"/>
      <c r="F95" s="24"/>
      <c r="G95" s="24"/>
      <c r="H95" s="24"/>
    </row>
    <row r="96" spans="3:8" ht="15" customHeight="1" x14ac:dyDescent="0.3">
      <c r="C96" s="24"/>
      <c r="D96" s="24"/>
      <c r="E96" s="24"/>
      <c r="F96" s="24"/>
      <c r="G96" s="24"/>
      <c r="H96" s="24"/>
    </row>
    <row r="97" spans="3:8" ht="15" customHeight="1" x14ac:dyDescent="0.3">
      <c r="C97" s="24"/>
      <c r="D97" s="24"/>
      <c r="E97" s="24"/>
      <c r="F97" s="24"/>
      <c r="G97" s="24"/>
      <c r="H97" s="24"/>
    </row>
    <row r="98" spans="3:8" ht="15" customHeight="1" x14ac:dyDescent="0.3">
      <c r="C98" s="24"/>
      <c r="D98" s="24"/>
      <c r="E98" s="24"/>
      <c r="F98" s="24"/>
      <c r="G98" s="24"/>
      <c r="H98" s="24"/>
    </row>
    <row r="99" spans="3:8" ht="15" customHeight="1" x14ac:dyDescent="0.3">
      <c r="C99" s="24"/>
      <c r="D99" s="24"/>
      <c r="E99" s="24"/>
      <c r="F99" s="24"/>
      <c r="G99" s="24"/>
      <c r="H99" s="24"/>
    </row>
    <row r="100" spans="3:8" ht="15" customHeight="1" x14ac:dyDescent="0.3">
      <c r="C100" s="24"/>
      <c r="D100" s="24"/>
      <c r="E100" s="24"/>
      <c r="F100" s="24"/>
      <c r="G100" s="24"/>
      <c r="H100" s="24"/>
    </row>
    <row r="101" spans="3:8" ht="15" customHeight="1" x14ac:dyDescent="0.3">
      <c r="C101" s="24"/>
      <c r="D101" s="24"/>
      <c r="E101" s="24"/>
      <c r="F101" s="24"/>
      <c r="G101" s="24"/>
      <c r="H101" s="24"/>
    </row>
    <row r="102" spans="3:8" ht="15" customHeight="1" x14ac:dyDescent="0.3">
      <c r="C102" s="24"/>
      <c r="D102" s="24"/>
      <c r="E102" s="24"/>
      <c r="F102" s="24"/>
      <c r="G102" s="24"/>
      <c r="H102" s="24"/>
    </row>
    <row r="103" spans="3:8" ht="15" customHeight="1" x14ac:dyDescent="0.3">
      <c r="C103" s="24"/>
      <c r="D103" s="24"/>
      <c r="E103" s="24"/>
      <c r="F103" s="24"/>
      <c r="G103" s="24"/>
      <c r="H103" s="24"/>
    </row>
    <row r="104" spans="3:8" ht="15" customHeight="1" x14ac:dyDescent="0.3">
      <c r="C104" s="24"/>
      <c r="D104" s="24"/>
      <c r="E104" s="24"/>
      <c r="F104" s="24"/>
      <c r="G104" s="24"/>
      <c r="H104" s="24"/>
    </row>
    <row r="105" spans="3:8" ht="15" customHeight="1" x14ac:dyDescent="0.3">
      <c r="C105" s="24"/>
      <c r="D105" s="24"/>
      <c r="E105" s="24"/>
      <c r="F105" s="24"/>
      <c r="G105" s="24"/>
      <c r="H105" s="24"/>
    </row>
    <row r="106" spans="3:8" ht="15" customHeight="1" x14ac:dyDescent="0.3">
      <c r="C106" s="24"/>
      <c r="D106" s="24"/>
      <c r="E106" s="24"/>
      <c r="F106" s="24"/>
      <c r="G106" s="24"/>
      <c r="H106" s="24"/>
    </row>
    <row r="107" spans="3:8" ht="15" customHeight="1" x14ac:dyDescent="0.3">
      <c r="C107" s="24"/>
      <c r="D107" s="24"/>
      <c r="E107" s="24"/>
      <c r="F107" s="24"/>
      <c r="G107" s="24"/>
      <c r="H107" s="24"/>
    </row>
    <row r="108" spans="3:8" ht="15" customHeight="1" x14ac:dyDescent="0.3">
      <c r="C108" s="24"/>
      <c r="D108" s="24"/>
      <c r="E108" s="24"/>
      <c r="F108" s="24"/>
      <c r="G108" s="24"/>
      <c r="H108" s="24"/>
    </row>
    <row r="109" spans="3:8" ht="15" customHeight="1" x14ac:dyDescent="0.3">
      <c r="C109" s="24"/>
      <c r="D109" s="24"/>
      <c r="E109" s="24"/>
      <c r="F109" s="24"/>
      <c r="G109" s="24"/>
      <c r="H109" s="24"/>
    </row>
    <row r="110" spans="3:8" ht="15" customHeight="1" x14ac:dyDescent="0.3">
      <c r="C110" s="24"/>
      <c r="D110" s="24"/>
      <c r="E110" s="24"/>
      <c r="F110" s="24"/>
      <c r="G110" s="24"/>
      <c r="H110" s="24"/>
    </row>
    <row r="111" spans="3:8" ht="15" customHeight="1" x14ac:dyDescent="0.3">
      <c r="C111" s="24"/>
      <c r="D111" s="24"/>
      <c r="E111" s="24"/>
      <c r="F111" s="24"/>
      <c r="G111" s="24"/>
      <c r="H111" s="24"/>
    </row>
    <row r="112" spans="3:8" ht="15" customHeight="1" x14ac:dyDescent="0.3">
      <c r="C112" s="24"/>
      <c r="D112" s="24"/>
      <c r="E112" s="24"/>
      <c r="F112" s="24"/>
      <c r="G112" s="24"/>
      <c r="H112" s="24"/>
    </row>
    <row r="113" spans="3:8" ht="15" customHeight="1" x14ac:dyDescent="0.3">
      <c r="C113" s="24"/>
      <c r="D113" s="24"/>
      <c r="E113" s="24"/>
      <c r="F113" s="24"/>
      <c r="G113" s="24"/>
      <c r="H113" s="24"/>
    </row>
    <row r="114" spans="3:8" ht="15" customHeight="1" x14ac:dyDescent="0.3">
      <c r="C114" s="24"/>
      <c r="D114" s="24"/>
      <c r="E114" s="24"/>
      <c r="F114" s="24"/>
      <c r="G114" s="24"/>
      <c r="H114" s="24"/>
    </row>
    <row r="115" spans="3:8" ht="15" customHeight="1" x14ac:dyDescent="0.3">
      <c r="C115" s="24"/>
      <c r="D115" s="24"/>
      <c r="E115" s="24"/>
      <c r="F115" s="24"/>
      <c r="G115" s="24"/>
      <c r="H115" s="24"/>
    </row>
    <row r="116" spans="3:8" ht="15" customHeight="1" x14ac:dyDescent="0.3">
      <c r="C116" s="24"/>
      <c r="D116" s="24"/>
      <c r="E116" s="24"/>
      <c r="F116" s="24"/>
      <c r="G116" s="24"/>
      <c r="H116" s="24"/>
    </row>
    <row r="117" spans="3:8" ht="15" customHeight="1" x14ac:dyDescent="0.3">
      <c r="C117" s="24"/>
      <c r="D117" s="24"/>
      <c r="E117" s="24"/>
      <c r="F117" s="24"/>
      <c r="G117" s="24"/>
      <c r="H117" s="24"/>
    </row>
    <row r="118" spans="3:8" ht="15" customHeight="1" x14ac:dyDescent="0.3">
      <c r="C118" s="24"/>
      <c r="D118" s="24"/>
      <c r="E118" s="24"/>
      <c r="F118" s="24"/>
      <c r="G118" s="24"/>
      <c r="H118" s="24"/>
    </row>
    <row r="119" spans="3:8" ht="15" customHeight="1" x14ac:dyDescent="0.3">
      <c r="C119" s="24"/>
      <c r="D119" s="24"/>
      <c r="E119" s="24"/>
      <c r="F119" s="24"/>
      <c r="G119" s="24"/>
      <c r="H119" s="24"/>
    </row>
    <row r="120" spans="3:8" ht="15" customHeight="1" x14ac:dyDescent="0.3">
      <c r="C120" s="24"/>
      <c r="D120" s="24"/>
      <c r="E120" s="24"/>
      <c r="F120" s="24"/>
      <c r="G120" s="24"/>
      <c r="H120" s="24"/>
    </row>
    <row r="121" spans="3:8" ht="15" customHeight="1" x14ac:dyDescent="0.3">
      <c r="C121" s="24"/>
      <c r="D121" s="24"/>
      <c r="E121" s="24"/>
      <c r="F121" s="24"/>
      <c r="G121" s="24"/>
      <c r="H121" s="24"/>
    </row>
    <row r="122" spans="3:8" ht="15" customHeight="1" x14ac:dyDescent="0.3">
      <c r="C122" s="24"/>
      <c r="D122" s="24"/>
      <c r="E122" s="24"/>
      <c r="F122" s="24"/>
      <c r="G122" s="24"/>
      <c r="H122" s="24"/>
    </row>
    <row r="123" spans="3:8" ht="15" customHeight="1" x14ac:dyDescent="0.3">
      <c r="C123" s="24"/>
      <c r="D123" s="24"/>
      <c r="E123" s="24"/>
      <c r="F123" s="24"/>
      <c r="G123" s="24"/>
      <c r="H123" s="24"/>
    </row>
    <row r="124" spans="3:8" ht="15" customHeight="1" x14ac:dyDescent="0.3">
      <c r="C124" s="24"/>
      <c r="D124" s="24"/>
      <c r="E124" s="24"/>
      <c r="F124" s="24"/>
      <c r="G124" s="24"/>
      <c r="H124" s="24"/>
    </row>
    <row r="125" spans="3:8" ht="15" customHeight="1" x14ac:dyDescent="0.3">
      <c r="C125" s="24"/>
      <c r="D125" s="24"/>
      <c r="E125" s="24"/>
      <c r="F125" s="24"/>
      <c r="G125" s="24"/>
      <c r="H125" s="24"/>
    </row>
    <row r="126" spans="3:8" ht="15" customHeight="1" x14ac:dyDescent="0.3">
      <c r="C126" s="24"/>
      <c r="D126" s="24"/>
      <c r="E126" s="24"/>
      <c r="F126" s="24"/>
      <c r="G126" s="24"/>
      <c r="H126" s="24"/>
    </row>
    <row r="127" spans="3:8" ht="15" customHeight="1" x14ac:dyDescent="0.3">
      <c r="C127" s="24"/>
      <c r="D127" s="24"/>
      <c r="E127" s="24"/>
      <c r="F127" s="24"/>
      <c r="G127" s="24"/>
      <c r="H127" s="24"/>
    </row>
    <row r="128" spans="3:8" ht="15" customHeight="1" x14ac:dyDescent="0.3">
      <c r="C128" s="24"/>
      <c r="D128" s="24"/>
      <c r="E128" s="24"/>
      <c r="F128" s="24"/>
      <c r="G128" s="24"/>
      <c r="H128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9660-44FB-460D-B7C3-88644069678A}">
  <dimension ref="A1:Y128"/>
  <sheetViews>
    <sheetView zoomScale="69" workbookViewId="0">
      <selection activeCell="A5" sqref="A5"/>
    </sheetView>
  </sheetViews>
  <sheetFormatPr defaultRowHeight="14.4" x14ac:dyDescent="0.3"/>
  <cols>
    <col min="1" max="1" width="17" customWidth="1"/>
    <col min="2" max="2" width="123.5546875" customWidth="1"/>
    <col min="3" max="3" width="13.109375" customWidth="1"/>
    <col min="4" max="4" width="15.5546875" customWidth="1"/>
    <col min="5" max="5" width="11" customWidth="1"/>
    <col min="6" max="6" width="18.33203125" customWidth="1"/>
    <col min="7" max="7" width="14.5546875" customWidth="1"/>
    <col min="8" max="8" width="13" customWidth="1"/>
  </cols>
  <sheetData>
    <row r="1" spans="1:25" s="20" customFormat="1" ht="22.05" customHeight="1" thickBot="1" x14ac:dyDescent="0.3">
      <c r="B1" s="18" t="s">
        <v>30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37</v>
      </c>
      <c r="B2" s="16" t="s">
        <v>121</v>
      </c>
      <c r="C2" s="24"/>
      <c r="D2" s="24"/>
      <c r="E2" s="24"/>
      <c r="F2" s="24" t="s">
        <v>38</v>
      </c>
      <c r="G2" s="24"/>
      <c r="H2" s="24">
        <f>IF(C2="X",1)+IF(D2="X",2)+IF(E2="X",3)+IF(F2="X",4)+IF(G2="X",5)</f>
        <v>4</v>
      </c>
    </row>
    <row r="3" spans="1:25" ht="22.05" customHeight="1" thickBot="1" x14ac:dyDescent="0.35">
      <c r="A3" s="18" t="s">
        <v>39</v>
      </c>
      <c r="B3" s="16" t="s">
        <v>40</v>
      </c>
      <c r="C3" s="24"/>
      <c r="D3" s="24"/>
      <c r="E3" s="24"/>
      <c r="F3" s="24" t="s">
        <v>38</v>
      </c>
      <c r="G3" s="24"/>
      <c r="H3" s="24">
        <f>IF(C3="X",1)+IF(D3="X",2)+IF(E3="X",3)+IF(F3="X",4)+IF(G3="X",5)</f>
        <v>4</v>
      </c>
    </row>
    <row r="4" spans="1:25" ht="22.05" customHeight="1" thickBot="1" x14ac:dyDescent="0.35">
      <c r="B4" s="18" t="s">
        <v>41</v>
      </c>
      <c r="C4" s="24"/>
      <c r="D4" s="24"/>
      <c r="E4" s="24"/>
      <c r="F4" s="24"/>
      <c r="G4" s="24"/>
      <c r="H4" s="24"/>
    </row>
    <row r="5" spans="1:25" ht="22.05" customHeight="1" thickBot="1" x14ac:dyDescent="0.35">
      <c r="A5" s="18" t="s">
        <v>42</v>
      </c>
      <c r="B5" s="16" t="s">
        <v>123</v>
      </c>
      <c r="C5" s="24"/>
      <c r="D5" s="24"/>
      <c r="E5" s="24" t="s">
        <v>38</v>
      </c>
      <c r="F5" s="24"/>
      <c r="G5" s="24"/>
      <c r="H5" s="24">
        <f>IF(C5="X",1)+IF(D5="X",2)+IF(E5="X",3)+IF(F5="X",4)+IF(G5="X",5)</f>
        <v>3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  <c r="H7" s="24"/>
    </row>
    <row r="8" spans="1:25" ht="22.05" customHeight="1" thickBot="1" x14ac:dyDescent="0.35">
      <c r="A8" s="18" t="s">
        <v>43</v>
      </c>
      <c r="B8" s="16" t="s">
        <v>126</v>
      </c>
      <c r="C8" s="24"/>
      <c r="D8" s="24"/>
      <c r="E8" s="24"/>
      <c r="F8" s="24"/>
      <c r="G8" s="24" t="s">
        <v>38</v>
      </c>
      <c r="H8" s="24">
        <f t="shared" ref="H8:H69" si="0">IF(C8="X",1)+IF(D8="X",2)+IF(E8="X",3)+IF(F8="X",4)+IF(G8="X",5)</f>
        <v>5</v>
      </c>
    </row>
    <row r="9" spans="1:25" ht="22.05" customHeight="1" thickBot="1" x14ac:dyDescent="0.35">
      <c r="A9" s="18" t="s">
        <v>45</v>
      </c>
      <c r="B9" s="16" t="s">
        <v>44</v>
      </c>
      <c r="C9" s="24"/>
      <c r="D9" s="24"/>
      <c r="E9" s="24" t="s">
        <v>38</v>
      </c>
      <c r="F9" s="24"/>
      <c r="G9" s="24"/>
      <c r="H9" s="24">
        <f t="shared" si="0"/>
        <v>3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  <c r="H10" s="24"/>
    </row>
    <row r="11" spans="1:25" ht="22.05" customHeight="1" thickBot="1" x14ac:dyDescent="0.35">
      <c r="A11" s="18" t="s">
        <v>46</v>
      </c>
      <c r="B11" s="16" t="s">
        <v>124</v>
      </c>
      <c r="C11" s="24"/>
      <c r="D11" s="24"/>
      <c r="E11" s="24"/>
      <c r="F11" s="24" t="s">
        <v>38</v>
      </c>
      <c r="G11" s="24"/>
      <c r="H11" s="24">
        <f t="shared" si="0"/>
        <v>4</v>
      </c>
    </row>
    <row r="12" spans="1:25" ht="22.05" customHeight="1" thickBot="1" x14ac:dyDescent="0.35">
      <c r="B12" s="18" t="s">
        <v>47</v>
      </c>
      <c r="C12" s="24"/>
      <c r="D12" s="24"/>
      <c r="E12" s="24"/>
      <c r="F12" s="24"/>
      <c r="G12" s="24"/>
      <c r="H12" s="24"/>
    </row>
    <row r="13" spans="1:25" ht="22.05" customHeight="1" thickBot="1" x14ac:dyDescent="0.35">
      <c r="A13" s="18" t="s">
        <v>48</v>
      </c>
      <c r="B13" s="16" t="s">
        <v>125</v>
      </c>
      <c r="C13" s="24"/>
      <c r="D13" s="24"/>
      <c r="E13" s="24"/>
      <c r="F13" s="24"/>
      <c r="G13" s="24" t="s">
        <v>38</v>
      </c>
      <c r="H13" s="24">
        <f t="shared" si="0"/>
        <v>5</v>
      </c>
    </row>
    <row r="14" spans="1:25" ht="22.05" customHeight="1" thickBot="1" x14ac:dyDescent="0.35">
      <c r="A14" s="18" t="s">
        <v>49</v>
      </c>
      <c r="B14" s="16" t="s">
        <v>127</v>
      </c>
      <c r="C14" s="24"/>
      <c r="D14" s="24"/>
      <c r="E14" s="24" t="s">
        <v>38</v>
      </c>
      <c r="F14" s="24"/>
      <c r="G14" s="24"/>
      <c r="H14" s="24">
        <f t="shared" si="0"/>
        <v>3</v>
      </c>
    </row>
    <row r="15" spans="1:25" ht="22.05" customHeight="1" thickBot="1" x14ac:dyDescent="0.35">
      <c r="A15" s="21"/>
      <c r="B15" s="22"/>
      <c r="C15" s="25"/>
      <c r="D15" s="25"/>
      <c r="E15" s="25"/>
      <c r="F15" s="25"/>
      <c r="G15" s="25"/>
      <c r="H15" s="25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22.05" customHeight="1" thickBot="1" x14ac:dyDescent="0.35">
      <c r="B16" s="18" t="s">
        <v>30</v>
      </c>
      <c r="C16" s="24"/>
      <c r="D16" s="24"/>
      <c r="E16" s="24"/>
      <c r="F16" s="24"/>
      <c r="G16" s="24"/>
      <c r="H16" s="24"/>
    </row>
    <row r="17" spans="1:25" ht="22.05" customHeight="1" thickBot="1" x14ac:dyDescent="0.35">
      <c r="A17" s="18" t="s">
        <v>50</v>
      </c>
      <c r="B17" s="16" t="s">
        <v>128</v>
      </c>
      <c r="C17" s="24"/>
      <c r="D17" s="24"/>
      <c r="E17" s="24"/>
      <c r="F17" s="24"/>
      <c r="G17" s="24" t="s">
        <v>38</v>
      </c>
      <c r="H17" s="24">
        <f t="shared" si="0"/>
        <v>5</v>
      </c>
    </row>
    <row r="18" spans="1:25" ht="22.05" customHeight="1" thickBot="1" x14ac:dyDescent="0.35">
      <c r="A18" s="18" t="s">
        <v>51</v>
      </c>
      <c r="B18" s="16" t="s">
        <v>131</v>
      </c>
      <c r="C18" s="24"/>
      <c r="D18" s="24"/>
      <c r="E18" s="24"/>
      <c r="F18" s="24"/>
      <c r="G18" s="24" t="s">
        <v>38</v>
      </c>
      <c r="H18" s="24">
        <f t="shared" si="0"/>
        <v>5</v>
      </c>
    </row>
    <row r="19" spans="1:25" ht="22.05" customHeight="1" thickBot="1" x14ac:dyDescent="0.35">
      <c r="A19" s="18" t="s">
        <v>129</v>
      </c>
      <c r="B19" s="16" t="s">
        <v>52</v>
      </c>
      <c r="C19" s="24"/>
      <c r="D19" s="24"/>
      <c r="E19" s="24" t="s">
        <v>38</v>
      </c>
      <c r="F19" s="24"/>
      <c r="G19" s="24"/>
      <c r="H19" s="24">
        <f t="shared" si="0"/>
        <v>3</v>
      </c>
    </row>
    <row r="20" spans="1:25" ht="22.05" customHeight="1" thickBot="1" x14ac:dyDescent="0.35">
      <c r="A20" s="18" t="s">
        <v>130</v>
      </c>
      <c r="B20" s="16" t="s">
        <v>122</v>
      </c>
      <c r="C20" s="24"/>
      <c r="D20" s="24"/>
      <c r="E20" s="24" t="s">
        <v>38</v>
      </c>
      <c r="F20" s="24"/>
      <c r="G20" s="24"/>
      <c r="H20" s="24">
        <f t="shared" si="0"/>
        <v>3</v>
      </c>
    </row>
    <row r="21" spans="1:25" ht="22.05" customHeight="1" thickBot="1" x14ac:dyDescent="0.35">
      <c r="B21" s="18" t="s">
        <v>41</v>
      </c>
      <c r="C21" s="24"/>
      <c r="D21" s="24"/>
      <c r="E21" s="24"/>
      <c r="F21" s="24"/>
      <c r="G21" s="24"/>
      <c r="H21" s="24"/>
    </row>
    <row r="22" spans="1:25" ht="22.05" customHeight="1" thickBot="1" x14ac:dyDescent="0.35">
      <c r="A22" s="18" t="s">
        <v>53</v>
      </c>
      <c r="B22" s="16" t="s">
        <v>132</v>
      </c>
      <c r="C22" s="24"/>
      <c r="D22" s="24"/>
      <c r="E22" s="24" t="s">
        <v>38</v>
      </c>
      <c r="F22" s="24"/>
      <c r="G22" s="24"/>
      <c r="H22" s="24">
        <f t="shared" si="0"/>
        <v>3</v>
      </c>
    </row>
    <row r="23" spans="1:25" ht="22.05" customHeight="1" thickBot="1" x14ac:dyDescent="0.35">
      <c r="B23" s="18" t="s">
        <v>47</v>
      </c>
      <c r="C23" s="24"/>
      <c r="D23" s="24"/>
      <c r="E23" s="24"/>
      <c r="F23" s="24"/>
      <c r="G23" s="24"/>
      <c r="H23" s="24"/>
    </row>
    <row r="24" spans="1:25" ht="22.05" customHeight="1" thickBot="1" x14ac:dyDescent="0.35">
      <c r="A24" s="18" t="s">
        <v>54</v>
      </c>
      <c r="B24" s="16" t="s">
        <v>55</v>
      </c>
      <c r="C24" s="24"/>
      <c r="D24" s="24"/>
      <c r="E24" s="24"/>
      <c r="F24" s="24" t="s">
        <v>38</v>
      </c>
      <c r="G24" s="24"/>
      <c r="H24" s="24">
        <f t="shared" si="0"/>
        <v>4</v>
      </c>
    </row>
    <row r="25" spans="1:25" ht="22.05" customHeight="1" thickBot="1" x14ac:dyDescent="0.35">
      <c r="A25" s="21"/>
      <c r="B25" s="22"/>
      <c r="C25" s="25"/>
      <c r="D25" s="25"/>
      <c r="E25" s="25"/>
      <c r="F25" s="25"/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22.05" customHeight="1" thickBot="1" x14ac:dyDescent="0.35">
      <c r="B26" s="18" t="s">
        <v>41</v>
      </c>
      <c r="C26" s="24"/>
      <c r="D26" s="24"/>
      <c r="E26" s="24"/>
      <c r="F26" s="24"/>
      <c r="G26" s="24"/>
      <c r="H26" s="24"/>
    </row>
    <row r="27" spans="1:25" ht="22.05" customHeight="1" thickBot="1" x14ac:dyDescent="0.35">
      <c r="A27" s="18" t="s">
        <v>56</v>
      </c>
      <c r="B27" s="16" t="s">
        <v>180</v>
      </c>
      <c r="C27" s="24"/>
      <c r="D27" s="24"/>
      <c r="E27" s="24" t="s">
        <v>38</v>
      </c>
      <c r="F27" s="24"/>
      <c r="G27" s="24"/>
      <c r="H27" s="24">
        <f t="shared" si="0"/>
        <v>3</v>
      </c>
    </row>
    <row r="28" spans="1:25" ht="22.05" customHeight="1" thickBot="1" x14ac:dyDescent="0.35">
      <c r="A28" s="18" t="s">
        <v>133</v>
      </c>
      <c r="B28" s="16" t="s">
        <v>136</v>
      </c>
      <c r="C28" s="24"/>
      <c r="D28" s="24"/>
      <c r="E28" s="24"/>
      <c r="F28" s="24"/>
      <c r="G28" s="24" t="s">
        <v>38</v>
      </c>
      <c r="H28" s="24">
        <f t="shared" si="0"/>
        <v>5</v>
      </c>
    </row>
    <row r="29" spans="1:25" ht="22.05" customHeight="1" thickBot="1" x14ac:dyDescent="0.35">
      <c r="B29" s="18" t="s">
        <v>58</v>
      </c>
      <c r="C29" s="24"/>
      <c r="D29" s="24"/>
      <c r="E29" s="24"/>
      <c r="F29" s="24"/>
      <c r="G29" s="24"/>
      <c r="H29" s="24"/>
    </row>
    <row r="30" spans="1:25" ht="22.05" customHeight="1" thickBot="1" x14ac:dyDescent="0.35">
      <c r="A30" s="18" t="s">
        <v>59</v>
      </c>
      <c r="B30" s="16" t="s">
        <v>134</v>
      </c>
      <c r="C30" s="24"/>
      <c r="D30" s="24"/>
      <c r="E30" s="24" t="s">
        <v>38</v>
      </c>
      <c r="F30" s="24"/>
      <c r="G30" s="24"/>
      <c r="H30" s="24">
        <f t="shared" si="0"/>
        <v>3</v>
      </c>
    </row>
    <row r="31" spans="1:25" ht="22.05" customHeight="1" thickBot="1" x14ac:dyDescent="0.35">
      <c r="A31" s="18" t="s">
        <v>60</v>
      </c>
      <c r="B31" s="16" t="s">
        <v>135</v>
      </c>
      <c r="C31" s="24"/>
      <c r="D31" s="24"/>
      <c r="E31" s="24"/>
      <c r="F31" s="24"/>
      <c r="G31" s="24" t="s">
        <v>38</v>
      </c>
      <c r="H31" s="24">
        <f t="shared" si="0"/>
        <v>5</v>
      </c>
    </row>
    <row r="32" spans="1:25" ht="22.05" customHeight="1" thickBot="1" x14ac:dyDescent="0.35">
      <c r="B32" s="18" t="s">
        <v>47</v>
      </c>
      <c r="C32" s="24"/>
      <c r="D32" s="24"/>
      <c r="E32" s="24"/>
      <c r="F32" s="24"/>
      <c r="G32" s="24"/>
      <c r="H32" s="24"/>
    </row>
    <row r="33" spans="1:25" ht="22.05" customHeight="1" thickBot="1" x14ac:dyDescent="0.35">
      <c r="A33" s="18" t="s">
        <v>61</v>
      </c>
      <c r="B33" s="16" t="s">
        <v>62</v>
      </c>
      <c r="C33" s="24"/>
      <c r="D33" s="24"/>
      <c r="E33" s="24"/>
      <c r="F33" s="24" t="s">
        <v>38</v>
      </c>
      <c r="G33" s="24"/>
      <c r="H33" s="24">
        <f t="shared" si="0"/>
        <v>4</v>
      </c>
    </row>
    <row r="34" spans="1:25" ht="22.05" customHeight="1" thickBot="1" x14ac:dyDescent="0.35">
      <c r="A34" s="18" t="s">
        <v>63</v>
      </c>
      <c r="B34" s="16" t="s">
        <v>137</v>
      </c>
      <c r="C34" s="24"/>
      <c r="D34" s="24"/>
      <c r="E34" s="24"/>
      <c r="F34" s="24" t="s">
        <v>38</v>
      </c>
      <c r="G34" s="24"/>
      <c r="H34" s="24">
        <f t="shared" si="0"/>
        <v>4</v>
      </c>
    </row>
    <row r="35" spans="1:25" ht="22.05" customHeight="1" thickBot="1" x14ac:dyDescent="0.35">
      <c r="A35" s="18" t="s">
        <v>64</v>
      </c>
      <c r="B35" s="16" t="s">
        <v>138</v>
      </c>
      <c r="C35" s="24"/>
      <c r="D35" s="24"/>
      <c r="E35" s="24"/>
      <c r="F35" s="24" t="s">
        <v>38</v>
      </c>
      <c r="G35" s="24"/>
      <c r="H35" s="24">
        <f t="shared" si="0"/>
        <v>4</v>
      </c>
    </row>
    <row r="36" spans="1:25" ht="22.05" customHeight="1" thickBot="1" x14ac:dyDescent="0.35">
      <c r="A36" s="21"/>
      <c r="B36" s="22"/>
      <c r="C36" s="25"/>
      <c r="D36" s="25"/>
      <c r="E36" s="25"/>
      <c r="F36" s="25"/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22.05" customHeight="1" thickBot="1" x14ac:dyDescent="0.35">
      <c r="B37" s="18" t="s">
        <v>41</v>
      </c>
      <c r="C37" s="24"/>
      <c r="D37" s="24"/>
      <c r="E37" s="24"/>
      <c r="F37" s="24"/>
      <c r="G37" s="24"/>
      <c r="H37" s="24"/>
    </row>
    <row r="38" spans="1:25" ht="22.05" customHeight="1" thickBot="1" x14ac:dyDescent="0.35">
      <c r="A38" s="18" t="s">
        <v>65</v>
      </c>
      <c r="B38" s="16" t="s">
        <v>66</v>
      </c>
      <c r="C38" s="24"/>
      <c r="D38" s="24"/>
      <c r="E38" s="24" t="s">
        <v>38</v>
      </c>
      <c r="F38" s="24"/>
      <c r="G38" s="24"/>
      <c r="H38" s="24">
        <f t="shared" si="0"/>
        <v>3</v>
      </c>
    </row>
    <row r="39" spans="1:25" ht="22.05" customHeight="1" thickBot="1" x14ac:dyDescent="0.35">
      <c r="A39" s="18" t="s">
        <v>67</v>
      </c>
      <c r="B39" s="16" t="s">
        <v>139</v>
      </c>
      <c r="C39" s="24"/>
      <c r="D39" s="24"/>
      <c r="E39" s="24"/>
      <c r="F39" s="24"/>
      <c r="G39" s="24" t="s">
        <v>38</v>
      </c>
      <c r="H39" s="24">
        <f t="shared" si="0"/>
        <v>5</v>
      </c>
    </row>
    <row r="40" spans="1:25" ht="22.05" customHeight="1" thickBot="1" x14ac:dyDescent="0.35">
      <c r="B40" s="18" t="s">
        <v>58</v>
      </c>
      <c r="C40" s="24"/>
      <c r="D40" s="24"/>
      <c r="E40" s="24"/>
      <c r="F40" s="24"/>
      <c r="G40" s="24"/>
      <c r="H40" s="24"/>
    </row>
    <row r="41" spans="1:25" ht="22.05" customHeight="1" thickBot="1" x14ac:dyDescent="0.35">
      <c r="A41" s="18" t="s">
        <v>68</v>
      </c>
      <c r="B41" s="16" t="s">
        <v>140</v>
      </c>
      <c r="C41" s="24"/>
      <c r="D41" s="24"/>
      <c r="E41" s="24"/>
      <c r="F41" s="24" t="s">
        <v>38</v>
      </c>
      <c r="G41" s="24"/>
      <c r="H41" s="24">
        <f t="shared" si="0"/>
        <v>4</v>
      </c>
    </row>
    <row r="42" spans="1:25" ht="22.05" customHeight="1" thickBot="1" x14ac:dyDescent="0.35">
      <c r="A42" s="18" t="s">
        <v>69</v>
      </c>
      <c r="B42" s="16" t="s">
        <v>141</v>
      </c>
      <c r="C42" s="24"/>
      <c r="D42" s="24"/>
      <c r="E42" s="24"/>
      <c r="F42" s="24"/>
      <c r="G42" s="24" t="s">
        <v>38</v>
      </c>
      <c r="H42" s="24">
        <f t="shared" si="0"/>
        <v>5</v>
      </c>
    </row>
    <row r="43" spans="1:25" ht="22.05" customHeight="1" thickBot="1" x14ac:dyDescent="0.35">
      <c r="A43" s="18" t="s">
        <v>142</v>
      </c>
      <c r="B43" s="16" t="s">
        <v>143</v>
      </c>
      <c r="C43" s="24"/>
      <c r="D43" s="24"/>
      <c r="E43" s="24"/>
      <c r="F43" s="24"/>
      <c r="G43" s="24" t="s">
        <v>38</v>
      </c>
      <c r="H43" s="24">
        <f t="shared" si="0"/>
        <v>5</v>
      </c>
    </row>
    <row r="44" spans="1:25" ht="22.05" customHeight="1" thickBot="1" x14ac:dyDescent="0.35">
      <c r="A44" s="21"/>
      <c r="B44" s="22"/>
      <c r="C44" s="25"/>
      <c r="D44" s="25"/>
      <c r="E44" s="25"/>
      <c r="F44" s="25"/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2.05" customHeight="1" thickBot="1" x14ac:dyDescent="0.35">
      <c r="B45" s="18" t="s">
        <v>30</v>
      </c>
      <c r="C45" s="24"/>
      <c r="D45" s="24"/>
      <c r="E45" s="24"/>
      <c r="F45" s="24"/>
      <c r="G45" s="24"/>
      <c r="H45" s="24"/>
    </row>
    <row r="46" spans="1:25" ht="22.05" customHeight="1" thickBot="1" x14ac:dyDescent="0.35">
      <c r="A46" s="18" t="s">
        <v>70</v>
      </c>
      <c r="B46" s="16" t="s">
        <v>71</v>
      </c>
      <c r="C46" s="24"/>
      <c r="D46" s="24"/>
      <c r="E46" s="24"/>
      <c r="F46" s="24" t="s">
        <v>38</v>
      </c>
      <c r="G46" s="24"/>
      <c r="H46" s="24">
        <f t="shared" si="0"/>
        <v>4</v>
      </c>
    </row>
    <row r="47" spans="1:25" ht="22.05" customHeight="1" thickBot="1" x14ac:dyDescent="0.35">
      <c r="A47" s="18" t="s">
        <v>72</v>
      </c>
      <c r="B47" s="16" t="s">
        <v>144</v>
      </c>
      <c r="C47" s="24"/>
      <c r="D47" s="24"/>
      <c r="E47" s="24"/>
      <c r="F47" s="24" t="s">
        <v>38</v>
      </c>
      <c r="G47" s="24"/>
      <c r="H47" s="24">
        <f t="shared" si="0"/>
        <v>4</v>
      </c>
    </row>
    <row r="48" spans="1:25" ht="22.05" customHeight="1" thickBot="1" x14ac:dyDescent="0.35">
      <c r="B48" s="18" t="s">
        <v>47</v>
      </c>
      <c r="C48" s="24"/>
      <c r="D48" s="24"/>
      <c r="E48" s="24"/>
      <c r="F48" s="24"/>
      <c r="G48" s="24"/>
      <c r="H48" s="24"/>
    </row>
    <row r="49" spans="1:25" ht="22.05" customHeight="1" thickBot="1" x14ac:dyDescent="0.35">
      <c r="A49" s="18" t="s">
        <v>73</v>
      </c>
      <c r="B49" s="16" t="s">
        <v>145</v>
      </c>
      <c r="C49" s="24"/>
      <c r="D49" s="24"/>
      <c r="E49" s="24" t="s">
        <v>38</v>
      </c>
      <c r="F49" s="24"/>
      <c r="G49" s="24"/>
      <c r="H49" s="24">
        <f t="shared" si="0"/>
        <v>3</v>
      </c>
    </row>
    <row r="50" spans="1:25" ht="22.05" customHeight="1" thickBot="1" x14ac:dyDescent="0.35">
      <c r="A50" s="21"/>
      <c r="B50" s="22"/>
      <c r="C50" s="25"/>
      <c r="D50" s="25"/>
      <c r="E50" s="25"/>
      <c r="F50" s="25"/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2.05" customHeight="1" thickBot="1" x14ac:dyDescent="0.35">
      <c r="B51" s="18" t="s">
        <v>30</v>
      </c>
      <c r="C51" s="24"/>
      <c r="D51" s="24"/>
      <c r="E51" s="24"/>
      <c r="F51" s="24"/>
      <c r="G51" s="24"/>
      <c r="H51" s="24"/>
    </row>
    <row r="52" spans="1:25" ht="22.05" customHeight="1" thickBot="1" x14ac:dyDescent="0.35">
      <c r="A52" s="18" t="s">
        <v>74</v>
      </c>
      <c r="B52" s="16" t="s">
        <v>146</v>
      </c>
      <c r="C52" s="24"/>
      <c r="D52" s="24"/>
      <c r="E52" s="24"/>
      <c r="F52" s="24" t="s">
        <v>38</v>
      </c>
      <c r="G52" s="24"/>
      <c r="H52" s="24">
        <f t="shared" si="0"/>
        <v>4</v>
      </c>
    </row>
    <row r="53" spans="1:25" ht="22.05" customHeight="1" thickBot="1" x14ac:dyDescent="0.35">
      <c r="A53" s="18" t="s">
        <v>75</v>
      </c>
      <c r="B53" s="16" t="s">
        <v>147</v>
      </c>
      <c r="C53" s="24"/>
      <c r="D53" s="24"/>
      <c r="E53" s="24"/>
      <c r="F53" s="24" t="s">
        <v>38</v>
      </c>
      <c r="G53" s="24"/>
      <c r="H53" s="24">
        <f t="shared" si="0"/>
        <v>4</v>
      </c>
    </row>
    <row r="54" spans="1:25" ht="22.05" customHeight="1" thickBot="1" x14ac:dyDescent="0.35">
      <c r="B54" s="18" t="s">
        <v>41</v>
      </c>
      <c r="C54" s="24"/>
      <c r="D54" s="24"/>
      <c r="E54" s="24"/>
      <c r="F54" s="24"/>
      <c r="G54" s="24"/>
      <c r="H54" s="24"/>
    </row>
    <row r="55" spans="1:25" ht="22.05" customHeight="1" thickBot="1" x14ac:dyDescent="0.35">
      <c r="A55" s="18" t="s">
        <v>76</v>
      </c>
      <c r="B55" s="16" t="s">
        <v>148</v>
      </c>
      <c r="C55" s="24"/>
      <c r="D55" s="24"/>
      <c r="E55" s="24" t="s">
        <v>38</v>
      </c>
      <c r="F55" s="24"/>
      <c r="G55" s="24"/>
      <c r="H55" s="24">
        <f t="shared" si="0"/>
        <v>3</v>
      </c>
    </row>
    <row r="56" spans="1:25" ht="22.05" customHeight="1" thickBot="1" x14ac:dyDescent="0.35">
      <c r="B56" s="18" t="s">
        <v>58</v>
      </c>
      <c r="C56" s="24"/>
      <c r="D56" s="24"/>
      <c r="E56" s="24"/>
      <c r="F56" s="24"/>
      <c r="G56" s="24"/>
      <c r="H56" s="24"/>
    </row>
    <row r="57" spans="1:25" ht="22.05" customHeight="1" thickBot="1" x14ac:dyDescent="0.35">
      <c r="A57" s="18" t="s">
        <v>77</v>
      </c>
      <c r="B57" s="16" t="s">
        <v>181</v>
      </c>
      <c r="C57" s="24"/>
      <c r="D57" s="24"/>
      <c r="E57" s="24"/>
      <c r="F57" s="24"/>
      <c r="G57" s="24" t="s">
        <v>38</v>
      </c>
      <c r="H57" s="24">
        <f t="shared" si="0"/>
        <v>5</v>
      </c>
    </row>
    <row r="58" spans="1:25" ht="22.05" customHeight="1" thickBot="1" x14ac:dyDescent="0.35">
      <c r="A58" s="18" t="s">
        <v>78</v>
      </c>
      <c r="B58" s="16" t="s">
        <v>149</v>
      </c>
      <c r="C58" s="24"/>
      <c r="D58" s="24"/>
      <c r="E58" s="24"/>
      <c r="F58" s="24" t="s">
        <v>38</v>
      </c>
      <c r="G58" s="24"/>
      <c r="H58" s="24">
        <f t="shared" si="0"/>
        <v>4</v>
      </c>
    </row>
    <row r="59" spans="1:25" ht="22.05" customHeight="1" thickBot="1" x14ac:dyDescent="0.35">
      <c r="B59" s="18" t="s">
        <v>47</v>
      </c>
      <c r="C59" s="24"/>
      <c r="D59" s="24"/>
      <c r="E59" s="24"/>
      <c r="F59" s="24"/>
      <c r="G59" s="24"/>
      <c r="H59" s="24"/>
    </row>
    <row r="60" spans="1:25" ht="22.05" customHeight="1" thickBot="1" x14ac:dyDescent="0.35">
      <c r="A60" s="18" t="s">
        <v>79</v>
      </c>
      <c r="B60" s="16" t="s">
        <v>150</v>
      </c>
      <c r="C60" s="24"/>
      <c r="D60" s="24"/>
      <c r="E60" s="24"/>
      <c r="F60" s="24" t="s">
        <v>38</v>
      </c>
      <c r="G60" s="24"/>
      <c r="H60" s="24">
        <f t="shared" si="0"/>
        <v>4</v>
      </c>
    </row>
    <row r="61" spans="1:25" ht="22.05" customHeight="1" thickBot="1" x14ac:dyDescent="0.35">
      <c r="A61" s="21"/>
      <c r="B61" s="22"/>
      <c r="C61" s="25"/>
      <c r="D61" s="25"/>
      <c r="E61" s="25"/>
      <c r="F61" s="25"/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22.05" customHeight="1" thickBot="1" x14ac:dyDescent="0.35">
      <c r="B62" s="18" t="s">
        <v>30</v>
      </c>
      <c r="C62" s="24"/>
      <c r="D62" s="24"/>
      <c r="E62" s="24"/>
      <c r="F62" s="24"/>
      <c r="G62" s="24"/>
      <c r="H62" s="24"/>
    </row>
    <row r="63" spans="1:25" ht="22.05" customHeight="1" thickBot="1" x14ac:dyDescent="0.35">
      <c r="A63" s="18" t="s">
        <v>80</v>
      </c>
      <c r="B63" s="16" t="s">
        <v>152</v>
      </c>
      <c r="C63" s="24"/>
      <c r="D63" s="24"/>
      <c r="E63" s="24"/>
      <c r="F63" s="24" t="s">
        <v>38</v>
      </c>
      <c r="G63" s="24"/>
      <c r="H63" s="24">
        <f t="shared" si="0"/>
        <v>4</v>
      </c>
    </row>
    <row r="64" spans="1:25" ht="22.05" customHeight="1" thickBot="1" x14ac:dyDescent="0.35">
      <c r="B64" s="18" t="s">
        <v>41</v>
      </c>
      <c r="C64" s="24"/>
      <c r="D64" s="24"/>
      <c r="E64" s="24"/>
      <c r="F64" s="24"/>
      <c r="G64" s="24"/>
      <c r="H64" s="24"/>
    </row>
    <row r="65" spans="1:8" ht="22.05" customHeight="1" thickBot="1" x14ac:dyDescent="0.35">
      <c r="A65" s="18" t="s">
        <v>81</v>
      </c>
      <c r="B65" s="16" t="s">
        <v>153</v>
      </c>
      <c r="C65" s="24"/>
      <c r="D65" s="24"/>
      <c r="E65" s="24"/>
      <c r="F65" s="24" t="s">
        <v>38</v>
      </c>
      <c r="G65" s="24"/>
      <c r="H65" s="24">
        <f t="shared" si="0"/>
        <v>4</v>
      </c>
    </row>
    <row r="66" spans="1:8" ht="22.05" customHeight="1" thickBot="1" x14ac:dyDescent="0.35">
      <c r="B66" s="18" t="s">
        <v>58</v>
      </c>
      <c r="C66" s="24"/>
      <c r="D66" s="24"/>
      <c r="E66" s="24"/>
      <c r="F66" s="24"/>
      <c r="G66" s="24"/>
      <c r="H66" s="24"/>
    </row>
    <row r="67" spans="1:8" ht="22.05" customHeight="1" thickBot="1" x14ac:dyDescent="0.35">
      <c r="A67" s="18" t="s">
        <v>82</v>
      </c>
      <c r="B67" s="16" t="s">
        <v>154</v>
      </c>
      <c r="C67" s="24"/>
      <c r="D67" s="24"/>
      <c r="E67" s="24"/>
      <c r="F67" s="24" t="s">
        <v>38</v>
      </c>
      <c r="G67" s="24"/>
      <c r="H67" s="24">
        <f t="shared" si="0"/>
        <v>4</v>
      </c>
    </row>
    <row r="68" spans="1:8" ht="22.05" customHeight="1" thickBot="1" x14ac:dyDescent="0.35">
      <c r="B68" s="18" t="s">
        <v>47</v>
      </c>
      <c r="C68" s="24"/>
      <c r="D68" s="24"/>
      <c r="E68" s="24"/>
      <c r="F68" s="24"/>
      <c r="G68" s="24"/>
      <c r="H68" s="24"/>
    </row>
    <row r="69" spans="1:8" ht="22.05" customHeight="1" thickBot="1" x14ac:dyDescent="0.35">
      <c r="A69" s="18" t="s">
        <v>83</v>
      </c>
      <c r="B69" s="16" t="s">
        <v>155</v>
      </c>
      <c r="C69" s="24"/>
      <c r="D69" s="24" t="s">
        <v>38</v>
      </c>
      <c r="E69" s="24"/>
      <c r="F69" s="24"/>
      <c r="G69" s="24"/>
      <c r="H69" s="24">
        <f t="shared" si="0"/>
        <v>2</v>
      </c>
    </row>
    <row r="70" spans="1:8" ht="22.05" customHeight="1" x14ac:dyDescent="0.3">
      <c r="C70" s="24"/>
      <c r="D70" s="24"/>
      <c r="E70" s="24"/>
      <c r="F70" s="24"/>
      <c r="G70" s="24"/>
      <c r="H70" s="24"/>
    </row>
    <row r="71" spans="1:8" ht="22.05" customHeight="1" x14ac:dyDescent="0.3">
      <c r="C71" s="24"/>
      <c r="D71" s="24"/>
      <c r="E71" s="24"/>
      <c r="F71" s="24"/>
      <c r="G71" s="24"/>
      <c r="H71" s="24"/>
    </row>
    <row r="72" spans="1:8" ht="22.05" customHeight="1" x14ac:dyDescent="0.3">
      <c r="C72" s="24"/>
      <c r="D72" s="24"/>
      <c r="E72" s="24"/>
      <c r="F72" s="24"/>
      <c r="G72" s="24"/>
      <c r="H72" s="24"/>
    </row>
    <row r="73" spans="1:8" ht="15" customHeight="1" x14ac:dyDescent="0.3">
      <c r="C73" s="24"/>
      <c r="D73" s="24"/>
      <c r="E73" s="24"/>
      <c r="F73" s="24"/>
      <c r="G73" s="24"/>
      <c r="H73" s="24"/>
    </row>
    <row r="74" spans="1:8" ht="15" customHeight="1" x14ac:dyDescent="0.3">
      <c r="C74" s="24"/>
      <c r="D74" s="24"/>
      <c r="E74" s="24"/>
      <c r="F74" s="24"/>
      <c r="G74" s="24"/>
      <c r="H74" s="24"/>
    </row>
    <row r="75" spans="1:8" ht="15" customHeight="1" x14ac:dyDescent="0.3">
      <c r="C75" s="24"/>
      <c r="D75" s="24"/>
      <c r="E75" s="24"/>
      <c r="F75" s="24"/>
      <c r="G75" s="24"/>
      <c r="H75" s="24"/>
    </row>
    <row r="76" spans="1:8" ht="15" customHeight="1" x14ac:dyDescent="0.3">
      <c r="C76" s="24"/>
      <c r="D76" s="24"/>
      <c r="E76" s="24"/>
      <c r="F76" s="24"/>
      <c r="G76" s="24"/>
      <c r="H76" s="24"/>
    </row>
    <row r="77" spans="1:8" ht="15" customHeight="1" x14ac:dyDescent="0.3">
      <c r="C77" s="24"/>
      <c r="D77" s="24"/>
      <c r="E77" s="24"/>
      <c r="F77" s="24"/>
      <c r="G77" s="24"/>
      <c r="H77" s="24"/>
    </row>
    <row r="78" spans="1:8" ht="15" customHeight="1" x14ac:dyDescent="0.3">
      <c r="C78" s="24"/>
      <c r="D78" s="24"/>
      <c r="E78" s="24"/>
      <c r="F78" s="24"/>
      <c r="G78" s="24"/>
      <c r="H78" s="24"/>
    </row>
    <row r="79" spans="1:8" ht="15" customHeight="1" x14ac:dyDescent="0.3">
      <c r="C79" s="24"/>
      <c r="D79" s="24"/>
      <c r="E79" s="24"/>
      <c r="F79" s="24"/>
      <c r="G79" s="24"/>
      <c r="H79" s="24"/>
    </row>
    <row r="80" spans="1:8" ht="15" customHeight="1" x14ac:dyDescent="0.3">
      <c r="C80" s="24"/>
      <c r="D80" s="24"/>
      <c r="E80" s="24"/>
      <c r="F80" s="24"/>
      <c r="G80" s="24"/>
      <c r="H80" s="24"/>
    </row>
    <row r="81" spans="3:8" ht="15" customHeight="1" x14ac:dyDescent="0.3">
      <c r="C81" s="24"/>
      <c r="D81" s="24"/>
      <c r="E81" s="24"/>
      <c r="F81" s="24"/>
      <c r="G81" s="24"/>
      <c r="H81" s="24"/>
    </row>
    <row r="82" spans="3:8" ht="15" customHeight="1" x14ac:dyDescent="0.3">
      <c r="C82" s="24"/>
      <c r="D82" s="24"/>
      <c r="E82" s="24"/>
      <c r="F82" s="24"/>
      <c r="G82" s="24"/>
      <c r="H82" s="24"/>
    </row>
    <row r="83" spans="3:8" ht="15" customHeight="1" x14ac:dyDescent="0.3">
      <c r="C83" s="24"/>
      <c r="D83" s="24"/>
      <c r="E83" s="24"/>
      <c r="F83" s="24"/>
      <c r="G83" s="24"/>
      <c r="H83" s="24"/>
    </row>
    <row r="84" spans="3:8" ht="15" customHeight="1" x14ac:dyDescent="0.3">
      <c r="C84" s="24"/>
      <c r="D84" s="24"/>
      <c r="E84" s="24"/>
      <c r="F84" s="24"/>
      <c r="G84" s="24"/>
      <c r="H84" s="24"/>
    </row>
    <row r="85" spans="3:8" ht="15" customHeight="1" x14ac:dyDescent="0.3">
      <c r="C85" s="24"/>
      <c r="D85" s="24"/>
      <c r="E85" s="24"/>
      <c r="F85" s="24"/>
      <c r="G85" s="24"/>
      <c r="H85" s="24"/>
    </row>
    <row r="86" spans="3:8" ht="15" customHeight="1" x14ac:dyDescent="0.3">
      <c r="C86" s="24"/>
      <c r="D86" s="24"/>
      <c r="E86" s="24"/>
      <c r="F86" s="24"/>
      <c r="G86" s="24"/>
      <c r="H86" s="24"/>
    </row>
    <row r="87" spans="3:8" ht="15" customHeight="1" x14ac:dyDescent="0.3">
      <c r="C87" s="24"/>
      <c r="D87" s="24"/>
      <c r="E87" s="24"/>
      <c r="F87" s="24"/>
      <c r="G87" s="24"/>
      <c r="H87" s="24"/>
    </row>
    <row r="88" spans="3:8" ht="15" customHeight="1" x14ac:dyDescent="0.3">
      <c r="C88" s="24"/>
      <c r="D88" s="24"/>
      <c r="E88" s="24"/>
      <c r="F88" s="24"/>
      <c r="G88" s="24"/>
      <c r="H88" s="24"/>
    </row>
    <row r="89" spans="3:8" ht="15" customHeight="1" x14ac:dyDescent="0.3">
      <c r="C89" s="24"/>
      <c r="D89" s="24"/>
      <c r="E89" s="24"/>
      <c r="F89" s="24"/>
      <c r="G89" s="24"/>
      <c r="H89" s="24"/>
    </row>
    <row r="90" spans="3:8" ht="15" customHeight="1" x14ac:dyDescent="0.3">
      <c r="C90" s="24"/>
      <c r="D90" s="24"/>
      <c r="E90" s="24"/>
      <c r="F90" s="24"/>
      <c r="G90" s="24"/>
      <c r="H90" s="24"/>
    </row>
    <row r="91" spans="3:8" ht="15" customHeight="1" x14ac:dyDescent="0.3">
      <c r="C91" s="24"/>
      <c r="D91" s="24"/>
      <c r="E91" s="24"/>
      <c r="F91" s="24"/>
      <c r="G91" s="24"/>
      <c r="H91" s="24"/>
    </row>
    <row r="92" spans="3:8" ht="15" customHeight="1" x14ac:dyDescent="0.3">
      <c r="C92" s="24"/>
      <c r="D92" s="24"/>
      <c r="E92" s="24"/>
      <c r="F92" s="24"/>
      <c r="G92" s="24"/>
      <c r="H92" s="24"/>
    </row>
    <row r="93" spans="3:8" ht="15" customHeight="1" x14ac:dyDescent="0.3">
      <c r="C93" s="24"/>
      <c r="D93" s="24"/>
      <c r="E93" s="24"/>
      <c r="F93" s="24"/>
      <c r="G93" s="24"/>
      <c r="H93" s="24"/>
    </row>
    <row r="94" spans="3:8" ht="15" customHeight="1" x14ac:dyDescent="0.3">
      <c r="C94" s="24"/>
      <c r="D94" s="24"/>
      <c r="E94" s="24"/>
      <c r="F94" s="24"/>
      <c r="G94" s="24"/>
      <c r="H94" s="24"/>
    </row>
    <row r="95" spans="3:8" ht="15" customHeight="1" x14ac:dyDescent="0.3">
      <c r="C95" s="24"/>
      <c r="D95" s="24"/>
      <c r="E95" s="24"/>
      <c r="F95" s="24"/>
      <c r="G95" s="24"/>
      <c r="H95" s="24"/>
    </row>
    <row r="96" spans="3:8" ht="15" customHeight="1" x14ac:dyDescent="0.3">
      <c r="C96" s="24"/>
      <c r="D96" s="24"/>
      <c r="E96" s="24"/>
      <c r="F96" s="24"/>
      <c r="G96" s="24"/>
      <c r="H96" s="24"/>
    </row>
    <row r="97" spans="3:8" ht="15" customHeight="1" x14ac:dyDescent="0.3">
      <c r="C97" s="24"/>
      <c r="D97" s="24"/>
      <c r="E97" s="24"/>
      <c r="F97" s="24"/>
      <c r="G97" s="24"/>
      <c r="H97" s="24"/>
    </row>
    <row r="98" spans="3:8" ht="15" customHeight="1" x14ac:dyDescent="0.3">
      <c r="C98" s="24"/>
      <c r="D98" s="24"/>
      <c r="E98" s="24"/>
      <c r="F98" s="24"/>
      <c r="G98" s="24"/>
      <c r="H98" s="24"/>
    </row>
    <row r="99" spans="3:8" ht="15" customHeight="1" x14ac:dyDescent="0.3">
      <c r="C99" s="24"/>
      <c r="D99" s="24"/>
      <c r="E99" s="24"/>
      <c r="F99" s="24"/>
      <c r="G99" s="24"/>
      <c r="H99" s="24"/>
    </row>
    <row r="100" spans="3:8" ht="15" customHeight="1" x14ac:dyDescent="0.3">
      <c r="C100" s="24"/>
      <c r="D100" s="24"/>
      <c r="E100" s="24"/>
      <c r="F100" s="24"/>
      <c r="G100" s="24"/>
      <c r="H100" s="24"/>
    </row>
    <row r="101" spans="3:8" ht="15" customHeight="1" x14ac:dyDescent="0.3">
      <c r="C101" s="24"/>
      <c r="D101" s="24"/>
      <c r="E101" s="24"/>
      <c r="F101" s="24"/>
      <c r="G101" s="24"/>
      <c r="H101" s="24"/>
    </row>
    <row r="102" spans="3:8" ht="15" customHeight="1" x14ac:dyDescent="0.3">
      <c r="C102" s="24"/>
      <c r="D102" s="24"/>
      <c r="E102" s="24"/>
      <c r="F102" s="24"/>
      <c r="G102" s="24"/>
      <c r="H102" s="24"/>
    </row>
    <row r="103" spans="3:8" ht="15" customHeight="1" x14ac:dyDescent="0.3">
      <c r="C103" s="24"/>
      <c r="D103" s="24"/>
      <c r="E103" s="24"/>
      <c r="F103" s="24"/>
      <c r="G103" s="24"/>
      <c r="H103" s="24"/>
    </row>
    <row r="104" spans="3:8" ht="15" customHeight="1" x14ac:dyDescent="0.3">
      <c r="C104" s="24"/>
      <c r="D104" s="24"/>
      <c r="E104" s="24"/>
      <c r="F104" s="24"/>
      <c r="G104" s="24"/>
      <c r="H104" s="24"/>
    </row>
    <row r="105" spans="3:8" ht="15" customHeight="1" x14ac:dyDescent="0.3">
      <c r="C105" s="24"/>
      <c r="D105" s="24"/>
      <c r="E105" s="24"/>
      <c r="F105" s="24"/>
      <c r="G105" s="24"/>
      <c r="H105" s="24"/>
    </row>
    <row r="106" spans="3:8" ht="15" customHeight="1" x14ac:dyDescent="0.3">
      <c r="C106" s="24"/>
      <c r="D106" s="24"/>
      <c r="E106" s="24"/>
      <c r="F106" s="24"/>
      <c r="G106" s="24"/>
      <c r="H106" s="24"/>
    </row>
    <row r="107" spans="3:8" ht="15" customHeight="1" x14ac:dyDescent="0.3">
      <c r="C107" s="24"/>
      <c r="D107" s="24"/>
      <c r="E107" s="24"/>
      <c r="F107" s="24"/>
      <c r="G107" s="24"/>
      <c r="H107" s="24"/>
    </row>
    <row r="108" spans="3:8" ht="15" customHeight="1" x14ac:dyDescent="0.3">
      <c r="C108" s="24"/>
      <c r="D108" s="24"/>
      <c r="E108" s="24"/>
      <c r="F108" s="24"/>
      <c r="G108" s="24"/>
      <c r="H108" s="24"/>
    </row>
    <row r="109" spans="3:8" ht="15" customHeight="1" x14ac:dyDescent="0.3">
      <c r="C109" s="24"/>
      <c r="D109" s="24"/>
      <c r="E109" s="24"/>
      <c r="F109" s="24"/>
      <c r="G109" s="24"/>
      <c r="H109" s="24"/>
    </row>
    <row r="110" spans="3:8" ht="15" customHeight="1" x14ac:dyDescent="0.3">
      <c r="C110" s="24"/>
      <c r="D110" s="24"/>
      <c r="E110" s="24"/>
      <c r="F110" s="24"/>
      <c r="G110" s="24"/>
      <c r="H110" s="24"/>
    </row>
    <row r="111" spans="3:8" ht="15" customHeight="1" x14ac:dyDescent="0.3">
      <c r="C111" s="24"/>
      <c r="D111" s="24"/>
      <c r="E111" s="24"/>
      <c r="F111" s="24"/>
      <c r="G111" s="24"/>
      <c r="H111" s="24"/>
    </row>
    <row r="112" spans="3:8" ht="15" customHeight="1" x14ac:dyDescent="0.3">
      <c r="C112" s="24"/>
      <c r="D112" s="24"/>
      <c r="E112" s="24"/>
      <c r="F112" s="24"/>
      <c r="G112" s="24"/>
      <c r="H112" s="24"/>
    </row>
    <row r="113" spans="3:8" ht="15" customHeight="1" x14ac:dyDescent="0.3">
      <c r="C113" s="24"/>
      <c r="D113" s="24"/>
      <c r="E113" s="24"/>
      <c r="F113" s="24"/>
      <c r="G113" s="24"/>
      <c r="H113" s="24"/>
    </row>
    <row r="114" spans="3:8" ht="15" customHeight="1" x14ac:dyDescent="0.3">
      <c r="C114" s="24"/>
      <c r="D114" s="24"/>
      <c r="E114" s="24"/>
      <c r="F114" s="24"/>
      <c r="G114" s="24"/>
      <c r="H114" s="24"/>
    </row>
    <row r="115" spans="3:8" ht="15" customHeight="1" x14ac:dyDescent="0.3">
      <c r="C115" s="24"/>
      <c r="D115" s="24"/>
      <c r="E115" s="24"/>
      <c r="F115" s="24"/>
      <c r="G115" s="24"/>
      <c r="H115" s="24"/>
    </row>
    <row r="116" spans="3:8" ht="15" customHeight="1" x14ac:dyDescent="0.3">
      <c r="C116" s="24"/>
      <c r="D116" s="24"/>
      <c r="E116" s="24"/>
      <c r="F116" s="24"/>
      <c r="G116" s="24"/>
      <c r="H116" s="24"/>
    </row>
    <row r="117" spans="3:8" ht="15" customHeight="1" x14ac:dyDescent="0.3">
      <c r="C117" s="24"/>
      <c r="D117" s="24"/>
      <c r="E117" s="24"/>
      <c r="F117" s="24"/>
      <c r="G117" s="24"/>
      <c r="H117" s="24"/>
    </row>
    <row r="118" spans="3:8" ht="15" customHeight="1" x14ac:dyDescent="0.3">
      <c r="C118" s="24"/>
      <c r="D118" s="24"/>
      <c r="E118" s="24"/>
      <c r="F118" s="24"/>
      <c r="G118" s="24"/>
      <c r="H118" s="24"/>
    </row>
    <row r="119" spans="3:8" ht="15" customHeight="1" x14ac:dyDescent="0.3">
      <c r="C119" s="24"/>
      <c r="D119" s="24"/>
      <c r="E119" s="24"/>
      <c r="F119" s="24"/>
      <c r="G119" s="24"/>
      <c r="H119" s="24"/>
    </row>
    <row r="120" spans="3:8" ht="15" customHeight="1" x14ac:dyDescent="0.3">
      <c r="C120" s="24"/>
      <c r="D120" s="24"/>
      <c r="E120" s="24"/>
      <c r="F120" s="24"/>
      <c r="G120" s="24"/>
      <c r="H120" s="24"/>
    </row>
    <row r="121" spans="3:8" ht="15" customHeight="1" x14ac:dyDescent="0.3">
      <c r="C121" s="24"/>
      <c r="D121" s="24"/>
      <c r="E121" s="24"/>
      <c r="F121" s="24"/>
      <c r="G121" s="24"/>
      <c r="H121" s="24"/>
    </row>
    <row r="122" spans="3:8" ht="15" customHeight="1" x14ac:dyDescent="0.3">
      <c r="C122" s="24"/>
      <c r="D122" s="24"/>
      <c r="E122" s="24"/>
      <c r="F122" s="24"/>
      <c r="G122" s="24"/>
      <c r="H122" s="24"/>
    </row>
    <row r="123" spans="3:8" ht="15" customHeight="1" x14ac:dyDescent="0.3">
      <c r="C123" s="24"/>
      <c r="D123" s="24"/>
      <c r="E123" s="24"/>
      <c r="F123" s="24"/>
      <c r="G123" s="24"/>
      <c r="H123" s="24"/>
    </row>
    <row r="124" spans="3:8" ht="15" customHeight="1" x14ac:dyDescent="0.3">
      <c r="C124" s="24"/>
      <c r="D124" s="24"/>
      <c r="E124" s="24"/>
      <c r="F124" s="24"/>
      <c r="G124" s="24"/>
      <c r="H124" s="24"/>
    </row>
    <row r="125" spans="3:8" ht="15" customHeight="1" x14ac:dyDescent="0.3">
      <c r="C125" s="24"/>
      <c r="D125" s="24"/>
      <c r="E125" s="24"/>
      <c r="F125" s="24"/>
      <c r="G125" s="24"/>
      <c r="H125" s="24"/>
    </row>
    <row r="126" spans="3:8" ht="15" customHeight="1" x14ac:dyDescent="0.3">
      <c r="C126" s="24"/>
      <c r="D126" s="24"/>
      <c r="E126" s="24"/>
      <c r="F126" s="24"/>
      <c r="G126" s="24"/>
      <c r="H126" s="24"/>
    </row>
    <row r="127" spans="3:8" ht="15" customHeight="1" x14ac:dyDescent="0.3">
      <c r="C127" s="24"/>
      <c r="D127" s="24"/>
      <c r="E127" s="24"/>
      <c r="F127" s="24"/>
      <c r="G127" s="24"/>
      <c r="H127" s="24"/>
    </row>
    <row r="128" spans="3:8" ht="15" customHeight="1" x14ac:dyDescent="0.3">
      <c r="C128" s="24"/>
      <c r="D128" s="24"/>
      <c r="E128" s="24"/>
      <c r="F128" s="24"/>
      <c r="G128" s="24"/>
      <c r="H128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B33E-B22E-4A5D-B4A3-26ABB08441DF}">
  <dimension ref="A1:Y128"/>
  <sheetViews>
    <sheetView topLeftCell="A44" zoomScale="60" workbookViewId="0">
      <selection activeCell="B69" activeCellId="1" sqref="B67 B69"/>
    </sheetView>
  </sheetViews>
  <sheetFormatPr defaultRowHeight="14.4" x14ac:dyDescent="0.3"/>
  <cols>
    <col min="1" max="1" width="17" customWidth="1"/>
    <col min="2" max="2" width="123.5546875" customWidth="1"/>
    <col min="3" max="3" width="13.109375" customWidth="1"/>
    <col min="4" max="4" width="15.5546875" customWidth="1"/>
    <col min="5" max="5" width="11" customWidth="1"/>
    <col min="6" max="6" width="18.33203125" customWidth="1"/>
    <col min="7" max="7" width="14.5546875" customWidth="1"/>
    <col min="8" max="8" width="13" customWidth="1"/>
  </cols>
  <sheetData>
    <row r="1" spans="1:25" s="20" customFormat="1" ht="22.05" customHeight="1" thickBot="1" x14ac:dyDescent="0.3">
      <c r="B1" s="18" t="s">
        <v>30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37</v>
      </c>
      <c r="B2" s="16" t="s">
        <v>121</v>
      </c>
      <c r="C2" s="24"/>
      <c r="D2" s="24"/>
      <c r="E2" s="24"/>
      <c r="F2" s="24" t="s">
        <v>38</v>
      </c>
      <c r="G2" s="24"/>
      <c r="H2" s="24">
        <f>IF(C2="X",1)+IF(D2="X",2)+IF(E2="X",3)+IF(F2="X",4)+IF(G2="X",5)</f>
        <v>4</v>
      </c>
    </row>
    <row r="3" spans="1:25" ht="22.05" customHeight="1" thickBot="1" x14ac:dyDescent="0.35">
      <c r="A3" s="18" t="s">
        <v>39</v>
      </c>
      <c r="B3" s="16" t="s">
        <v>40</v>
      </c>
      <c r="C3" s="24"/>
      <c r="D3" s="24"/>
      <c r="E3" s="24"/>
      <c r="F3" s="24" t="s">
        <v>38</v>
      </c>
      <c r="G3" s="24"/>
      <c r="H3" s="24">
        <f>IF(C3="X",1)+IF(D3="X",2)+IF(E3="X",3)+IF(F3="X",4)+IF(G3="X",5)</f>
        <v>4</v>
      </c>
    </row>
    <row r="4" spans="1:25" ht="22.05" customHeight="1" thickBot="1" x14ac:dyDescent="0.35">
      <c r="B4" s="18" t="s">
        <v>41</v>
      </c>
      <c r="C4" s="24"/>
      <c r="D4" s="24"/>
      <c r="E4" s="24"/>
      <c r="F4" s="24"/>
      <c r="G4" s="24"/>
      <c r="H4" s="24"/>
    </row>
    <row r="5" spans="1:25" ht="22.05" customHeight="1" thickBot="1" x14ac:dyDescent="0.35">
      <c r="A5" s="18" t="s">
        <v>42</v>
      </c>
      <c r="B5" s="16" t="s">
        <v>123</v>
      </c>
      <c r="C5" s="24"/>
      <c r="D5" s="24"/>
      <c r="E5" s="24" t="s">
        <v>38</v>
      </c>
      <c r="F5" s="24"/>
      <c r="G5" s="24"/>
      <c r="H5" s="24">
        <f>IF(C5="X",1)+IF(D5="X",2)+IF(E5="X",3)+IF(F5="X",4)+IF(G5="X",5)</f>
        <v>3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  <c r="H7" s="24"/>
    </row>
    <row r="8" spans="1:25" ht="22.05" customHeight="1" thickBot="1" x14ac:dyDescent="0.35">
      <c r="A8" s="18" t="s">
        <v>43</v>
      </c>
      <c r="B8" s="16" t="s">
        <v>126</v>
      </c>
      <c r="C8" s="24"/>
      <c r="D8" s="24"/>
      <c r="E8" s="24"/>
      <c r="F8" s="24"/>
      <c r="G8" s="24" t="s">
        <v>38</v>
      </c>
      <c r="H8" s="24">
        <f t="shared" ref="H8:H69" si="0">IF(C8="X",1)+IF(D8="X",2)+IF(E8="X",3)+IF(F8="X",4)+IF(G8="X",5)</f>
        <v>5</v>
      </c>
    </row>
    <row r="9" spans="1:25" ht="22.05" customHeight="1" thickBot="1" x14ac:dyDescent="0.35">
      <c r="A9" s="18" t="s">
        <v>45</v>
      </c>
      <c r="B9" s="16" t="s">
        <v>44</v>
      </c>
      <c r="C9" s="24"/>
      <c r="D9" s="24"/>
      <c r="E9" s="24"/>
      <c r="F9" s="24"/>
      <c r="G9" s="24" t="s">
        <v>38</v>
      </c>
      <c r="H9" s="24">
        <f t="shared" si="0"/>
        <v>5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  <c r="H10" s="24"/>
    </row>
    <row r="11" spans="1:25" ht="22.05" customHeight="1" thickBot="1" x14ac:dyDescent="0.35">
      <c r="A11" s="18" t="s">
        <v>46</v>
      </c>
      <c r="B11" s="16" t="s">
        <v>124</v>
      </c>
      <c r="C11" s="24"/>
      <c r="D11" s="24"/>
      <c r="E11" s="24"/>
      <c r="F11" s="24"/>
      <c r="G11" s="24" t="s">
        <v>38</v>
      </c>
      <c r="H11" s="24">
        <f t="shared" si="0"/>
        <v>5</v>
      </c>
    </row>
    <row r="12" spans="1:25" ht="22.05" customHeight="1" thickBot="1" x14ac:dyDescent="0.35">
      <c r="B12" s="18" t="s">
        <v>47</v>
      </c>
      <c r="C12" s="24"/>
      <c r="D12" s="24"/>
      <c r="E12" s="24"/>
      <c r="F12" s="24"/>
      <c r="G12" s="24"/>
      <c r="H12" s="24"/>
    </row>
    <row r="13" spans="1:25" ht="22.05" customHeight="1" thickBot="1" x14ac:dyDescent="0.35">
      <c r="A13" s="18" t="s">
        <v>48</v>
      </c>
      <c r="B13" s="16" t="s">
        <v>125</v>
      </c>
      <c r="C13" s="24"/>
      <c r="D13" s="24"/>
      <c r="E13" s="24"/>
      <c r="F13" s="24"/>
      <c r="G13" s="24" t="s">
        <v>38</v>
      </c>
      <c r="H13" s="24">
        <f t="shared" si="0"/>
        <v>5</v>
      </c>
    </row>
    <row r="14" spans="1:25" ht="22.05" customHeight="1" thickBot="1" x14ac:dyDescent="0.35">
      <c r="A14" s="18" t="s">
        <v>49</v>
      </c>
      <c r="B14" s="16" t="s">
        <v>127</v>
      </c>
      <c r="C14" s="24"/>
      <c r="D14" s="24"/>
      <c r="E14" s="24" t="s">
        <v>38</v>
      </c>
      <c r="F14" s="24"/>
      <c r="G14" s="24"/>
      <c r="H14" s="24">
        <f t="shared" si="0"/>
        <v>3</v>
      </c>
    </row>
    <row r="15" spans="1:25" ht="22.05" customHeight="1" thickBot="1" x14ac:dyDescent="0.35">
      <c r="A15" s="21"/>
      <c r="B15" s="22"/>
      <c r="C15" s="25"/>
      <c r="D15" s="25"/>
      <c r="E15" s="25"/>
      <c r="F15" s="25"/>
      <c r="G15" s="25"/>
      <c r="H15" s="25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22.05" customHeight="1" thickBot="1" x14ac:dyDescent="0.35">
      <c r="B16" s="18" t="s">
        <v>30</v>
      </c>
      <c r="C16" s="24"/>
      <c r="D16" s="24"/>
      <c r="E16" s="24"/>
      <c r="F16" s="24"/>
      <c r="G16" s="24"/>
      <c r="H16" s="24"/>
    </row>
    <row r="17" spans="1:25" ht="22.05" customHeight="1" thickBot="1" x14ac:dyDescent="0.35">
      <c r="A17" s="18" t="s">
        <v>50</v>
      </c>
      <c r="B17" s="16" t="s">
        <v>128</v>
      </c>
      <c r="C17" s="24"/>
      <c r="D17" s="24"/>
      <c r="E17" s="24"/>
      <c r="F17" s="24"/>
      <c r="G17" s="24" t="s">
        <v>38</v>
      </c>
      <c r="H17" s="24">
        <f t="shared" si="0"/>
        <v>5</v>
      </c>
    </row>
    <row r="18" spans="1:25" ht="22.05" customHeight="1" thickBot="1" x14ac:dyDescent="0.35">
      <c r="A18" s="18" t="s">
        <v>51</v>
      </c>
      <c r="B18" s="16" t="s">
        <v>131</v>
      </c>
      <c r="C18" s="24"/>
      <c r="D18" s="24"/>
      <c r="E18" s="24"/>
      <c r="F18" s="24"/>
      <c r="G18" s="24" t="s">
        <v>38</v>
      </c>
      <c r="H18" s="24">
        <f t="shared" si="0"/>
        <v>5</v>
      </c>
    </row>
    <row r="19" spans="1:25" ht="22.05" customHeight="1" thickBot="1" x14ac:dyDescent="0.35">
      <c r="A19" s="18" t="s">
        <v>129</v>
      </c>
      <c r="B19" s="16" t="s">
        <v>52</v>
      </c>
      <c r="C19" s="24"/>
      <c r="D19" s="24"/>
      <c r="E19" s="24"/>
      <c r="F19" s="24"/>
      <c r="G19" s="24" t="s">
        <v>38</v>
      </c>
      <c r="H19" s="24">
        <f t="shared" si="0"/>
        <v>5</v>
      </c>
    </row>
    <row r="20" spans="1:25" ht="22.05" customHeight="1" thickBot="1" x14ac:dyDescent="0.35">
      <c r="A20" s="18" t="s">
        <v>130</v>
      </c>
      <c r="B20" s="16" t="s">
        <v>122</v>
      </c>
      <c r="C20" s="24"/>
      <c r="D20" s="24"/>
      <c r="E20" s="24" t="s">
        <v>38</v>
      </c>
      <c r="F20" s="24"/>
      <c r="G20" s="24"/>
      <c r="H20" s="24">
        <f t="shared" si="0"/>
        <v>3</v>
      </c>
    </row>
    <row r="21" spans="1:25" ht="22.05" customHeight="1" thickBot="1" x14ac:dyDescent="0.35">
      <c r="B21" s="18" t="s">
        <v>41</v>
      </c>
      <c r="C21" s="24"/>
      <c r="D21" s="24"/>
      <c r="E21" s="24"/>
      <c r="F21" s="24"/>
      <c r="G21" s="24"/>
      <c r="H21" s="24"/>
    </row>
    <row r="22" spans="1:25" ht="22.05" customHeight="1" thickBot="1" x14ac:dyDescent="0.35">
      <c r="A22" s="18" t="s">
        <v>53</v>
      </c>
      <c r="B22" s="16" t="s">
        <v>132</v>
      </c>
      <c r="C22" s="24"/>
      <c r="D22" s="24"/>
      <c r="E22" s="24"/>
      <c r="F22" s="24" t="s">
        <v>38</v>
      </c>
      <c r="G22" s="24"/>
      <c r="H22" s="24">
        <f t="shared" si="0"/>
        <v>4</v>
      </c>
    </row>
    <row r="23" spans="1:25" ht="22.05" customHeight="1" thickBot="1" x14ac:dyDescent="0.35">
      <c r="B23" s="18" t="s">
        <v>47</v>
      </c>
      <c r="C23" s="24"/>
      <c r="D23" s="24"/>
      <c r="E23" s="24"/>
      <c r="F23" s="24"/>
      <c r="G23" s="24"/>
      <c r="H23" s="24"/>
    </row>
    <row r="24" spans="1:25" ht="22.05" customHeight="1" thickBot="1" x14ac:dyDescent="0.35">
      <c r="A24" s="18" t="s">
        <v>54</v>
      </c>
      <c r="B24" s="16" t="s">
        <v>55</v>
      </c>
      <c r="C24" s="24"/>
      <c r="D24" s="24"/>
      <c r="E24" s="24"/>
      <c r="F24" s="24" t="s">
        <v>38</v>
      </c>
      <c r="G24" s="24"/>
      <c r="H24" s="24">
        <f t="shared" si="0"/>
        <v>4</v>
      </c>
    </row>
    <row r="25" spans="1:25" ht="22.05" customHeight="1" thickBot="1" x14ac:dyDescent="0.35">
      <c r="A25" s="21"/>
      <c r="B25" s="22"/>
      <c r="C25" s="25"/>
      <c r="D25" s="25"/>
      <c r="E25" s="25"/>
      <c r="F25" s="25"/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22.05" customHeight="1" thickBot="1" x14ac:dyDescent="0.35">
      <c r="B26" s="18" t="s">
        <v>41</v>
      </c>
      <c r="C26" s="24"/>
      <c r="D26" s="24"/>
      <c r="E26" s="24"/>
      <c r="F26" s="24"/>
      <c r="G26" s="24"/>
      <c r="H26" s="24"/>
    </row>
    <row r="27" spans="1:25" ht="22.05" customHeight="1" thickBot="1" x14ac:dyDescent="0.35">
      <c r="A27" s="18" t="s">
        <v>56</v>
      </c>
      <c r="B27" s="16" t="s">
        <v>180</v>
      </c>
      <c r="C27" s="24"/>
      <c r="D27" s="24"/>
      <c r="E27" s="24"/>
      <c r="F27" s="24"/>
      <c r="G27" s="24" t="s">
        <v>38</v>
      </c>
      <c r="H27" s="24">
        <f t="shared" si="0"/>
        <v>5</v>
      </c>
    </row>
    <row r="28" spans="1:25" ht="22.05" customHeight="1" thickBot="1" x14ac:dyDescent="0.35">
      <c r="A28" s="18" t="s">
        <v>133</v>
      </c>
      <c r="B28" s="16" t="s">
        <v>136</v>
      </c>
      <c r="C28" s="24"/>
      <c r="D28" s="24"/>
      <c r="E28" s="24"/>
      <c r="F28" s="24" t="s">
        <v>38</v>
      </c>
      <c r="G28" s="24"/>
      <c r="H28" s="24">
        <f t="shared" si="0"/>
        <v>4</v>
      </c>
    </row>
    <row r="29" spans="1:25" ht="22.05" customHeight="1" thickBot="1" x14ac:dyDescent="0.35">
      <c r="B29" s="18" t="s">
        <v>58</v>
      </c>
      <c r="C29" s="24"/>
      <c r="D29" s="24"/>
      <c r="E29" s="24"/>
      <c r="F29" s="24"/>
      <c r="G29" s="24"/>
      <c r="H29" s="24"/>
    </row>
    <row r="30" spans="1:25" ht="22.05" customHeight="1" thickBot="1" x14ac:dyDescent="0.35">
      <c r="A30" s="18" t="s">
        <v>59</v>
      </c>
      <c r="B30" s="16" t="s">
        <v>134</v>
      </c>
      <c r="C30" s="24" t="s">
        <v>38</v>
      </c>
      <c r="D30" s="24"/>
      <c r="E30" s="24"/>
      <c r="F30" s="24"/>
      <c r="G30" s="24"/>
      <c r="H30" s="24">
        <f t="shared" si="0"/>
        <v>1</v>
      </c>
    </row>
    <row r="31" spans="1:25" ht="22.05" customHeight="1" thickBot="1" x14ac:dyDescent="0.35">
      <c r="A31" s="18" t="s">
        <v>60</v>
      </c>
      <c r="B31" s="16" t="s">
        <v>135</v>
      </c>
      <c r="C31" s="24"/>
      <c r="D31" s="24"/>
      <c r="E31" s="24" t="s">
        <v>38</v>
      </c>
      <c r="F31" s="24"/>
      <c r="G31" s="24"/>
      <c r="H31" s="24">
        <f t="shared" si="0"/>
        <v>3</v>
      </c>
    </row>
    <row r="32" spans="1:25" ht="22.05" customHeight="1" thickBot="1" x14ac:dyDescent="0.35">
      <c r="B32" s="18" t="s">
        <v>47</v>
      </c>
      <c r="C32" s="24"/>
      <c r="D32" s="24"/>
      <c r="E32" s="24"/>
      <c r="F32" s="24"/>
      <c r="G32" s="24"/>
      <c r="H32" s="24"/>
    </row>
    <row r="33" spans="1:25" ht="22.05" customHeight="1" thickBot="1" x14ac:dyDescent="0.35">
      <c r="A33" s="18" t="s">
        <v>61</v>
      </c>
      <c r="B33" s="16" t="s">
        <v>62</v>
      </c>
      <c r="C33" s="24"/>
      <c r="D33" s="24" t="s">
        <v>38</v>
      </c>
      <c r="E33" s="24"/>
      <c r="F33" s="24"/>
      <c r="G33" s="24"/>
      <c r="H33" s="24">
        <f t="shared" si="0"/>
        <v>2</v>
      </c>
    </row>
    <row r="34" spans="1:25" ht="22.05" customHeight="1" thickBot="1" x14ac:dyDescent="0.35">
      <c r="A34" s="18" t="s">
        <v>63</v>
      </c>
      <c r="B34" s="16" t="s">
        <v>137</v>
      </c>
      <c r="C34" s="24"/>
      <c r="D34" s="24" t="s">
        <v>38</v>
      </c>
      <c r="E34" s="24"/>
      <c r="F34" s="24"/>
      <c r="G34" s="24"/>
      <c r="H34" s="24">
        <f t="shared" si="0"/>
        <v>2</v>
      </c>
    </row>
    <row r="35" spans="1:25" ht="22.05" customHeight="1" thickBot="1" x14ac:dyDescent="0.35">
      <c r="A35" s="18" t="s">
        <v>64</v>
      </c>
      <c r="B35" s="16" t="s">
        <v>138</v>
      </c>
      <c r="C35" s="24"/>
      <c r="D35" s="24"/>
      <c r="E35" s="24"/>
      <c r="F35" s="24" t="s">
        <v>38</v>
      </c>
      <c r="G35" s="24"/>
      <c r="H35" s="24">
        <f t="shared" si="0"/>
        <v>4</v>
      </c>
    </row>
    <row r="36" spans="1:25" ht="22.05" customHeight="1" thickBot="1" x14ac:dyDescent="0.35">
      <c r="A36" s="21"/>
      <c r="B36" s="22"/>
      <c r="C36" s="25"/>
      <c r="D36" s="25"/>
      <c r="E36" s="25"/>
      <c r="F36" s="25"/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22.05" customHeight="1" thickBot="1" x14ac:dyDescent="0.35">
      <c r="B37" s="18" t="s">
        <v>41</v>
      </c>
      <c r="C37" s="24"/>
      <c r="D37" s="24"/>
      <c r="E37" s="24"/>
      <c r="F37" s="24"/>
      <c r="G37" s="24"/>
      <c r="H37" s="24"/>
    </row>
    <row r="38" spans="1:25" ht="22.05" customHeight="1" thickBot="1" x14ac:dyDescent="0.35">
      <c r="A38" s="18" t="s">
        <v>65</v>
      </c>
      <c r="B38" s="16" t="s">
        <v>66</v>
      </c>
      <c r="C38" s="24"/>
      <c r="D38" s="24"/>
      <c r="E38" s="24"/>
      <c r="F38" s="24" t="s">
        <v>38</v>
      </c>
      <c r="G38" s="24"/>
      <c r="H38" s="24">
        <f t="shared" si="0"/>
        <v>4</v>
      </c>
    </row>
    <row r="39" spans="1:25" ht="22.05" customHeight="1" thickBot="1" x14ac:dyDescent="0.35">
      <c r="A39" s="18" t="s">
        <v>67</v>
      </c>
      <c r="B39" s="16" t="s">
        <v>139</v>
      </c>
      <c r="C39" s="24"/>
      <c r="D39" s="24"/>
      <c r="E39" s="24"/>
      <c r="F39" s="24" t="s">
        <v>38</v>
      </c>
      <c r="G39" s="24"/>
      <c r="H39" s="24">
        <f t="shared" si="0"/>
        <v>4</v>
      </c>
    </row>
    <row r="40" spans="1:25" ht="22.05" customHeight="1" thickBot="1" x14ac:dyDescent="0.35">
      <c r="B40" s="18" t="s">
        <v>58</v>
      </c>
      <c r="C40" s="24"/>
      <c r="D40" s="24"/>
      <c r="E40" s="24"/>
      <c r="F40" s="24"/>
      <c r="G40" s="24"/>
      <c r="H40" s="24"/>
    </row>
    <row r="41" spans="1:25" ht="22.05" customHeight="1" thickBot="1" x14ac:dyDescent="0.35">
      <c r="A41" s="18" t="s">
        <v>68</v>
      </c>
      <c r="B41" s="16" t="s">
        <v>140</v>
      </c>
      <c r="C41" s="24"/>
      <c r="D41" s="24"/>
      <c r="E41" s="24" t="s">
        <v>38</v>
      </c>
      <c r="F41" s="24"/>
      <c r="G41" s="24"/>
      <c r="H41" s="24">
        <f t="shared" si="0"/>
        <v>3</v>
      </c>
    </row>
    <row r="42" spans="1:25" ht="22.05" customHeight="1" thickBot="1" x14ac:dyDescent="0.35">
      <c r="A42" s="18" t="s">
        <v>69</v>
      </c>
      <c r="B42" s="16" t="s">
        <v>141</v>
      </c>
      <c r="C42" s="24"/>
      <c r="D42" s="24"/>
      <c r="E42" s="24"/>
      <c r="F42" s="24" t="s">
        <v>38</v>
      </c>
      <c r="G42" s="24"/>
      <c r="H42" s="24">
        <f t="shared" si="0"/>
        <v>4</v>
      </c>
    </row>
    <row r="43" spans="1:25" ht="22.05" customHeight="1" thickBot="1" x14ac:dyDescent="0.35">
      <c r="A43" s="18" t="s">
        <v>142</v>
      </c>
      <c r="B43" s="16" t="s">
        <v>143</v>
      </c>
      <c r="C43" s="24"/>
      <c r="D43" s="24"/>
      <c r="E43" s="24"/>
      <c r="F43" s="24"/>
      <c r="G43" s="24" t="s">
        <v>38</v>
      </c>
      <c r="H43" s="24">
        <f t="shared" si="0"/>
        <v>5</v>
      </c>
    </row>
    <row r="44" spans="1:25" ht="22.05" customHeight="1" thickBot="1" x14ac:dyDescent="0.35">
      <c r="A44" s="21"/>
      <c r="B44" s="22"/>
      <c r="C44" s="25"/>
      <c r="D44" s="25"/>
      <c r="E44" s="25"/>
      <c r="F44" s="25"/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2.05" customHeight="1" thickBot="1" x14ac:dyDescent="0.35">
      <c r="B45" s="18" t="s">
        <v>30</v>
      </c>
      <c r="C45" s="24"/>
      <c r="D45" s="24"/>
      <c r="E45" s="24"/>
      <c r="F45" s="24"/>
      <c r="G45" s="24"/>
      <c r="H45" s="24"/>
    </row>
    <row r="46" spans="1:25" ht="22.05" customHeight="1" thickBot="1" x14ac:dyDescent="0.35">
      <c r="A46" s="18" t="s">
        <v>70</v>
      </c>
      <c r="B46" s="16" t="s">
        <v>71</v>
      </c>
      <c r="C46" s="24"/>
      <c r="D46" s="24"/>
      <c r="E46" s="24"/>
      <c r="F46" s="24" t="s">
        <v>38</v>
      </c>
      <c r="G46" s="24"/>
      <c r="H46" s="24">
        <f t="shared" si="0"/>
        <v>4</v>
      </c>
    </row>
    <row r="47" spans="1:25" ht="22.05" customHeight="1" thickBot="1" x14ac:dyDescent="0.35">
      <c r="A47" s="18" t="s">
        <v>72</v>
      </c>
      <c r="B47" s="16" t="s">
        <v>144</v>
      </c>
      <c r="C47" s="24"/>
      <c r="D47" s="24"/>
      <c r="E47" s="24"/>
      <c r="F47" s="24" t="s">
        <v>38</v>
      </c>
      <c r="G47" s="24"/>
      <c r="H47" s="24">
        <f t="shared" si="0"/>
        <v>4</v>
      </c>
    </row>
    <row r="48" spans="1:25" ht="22.05" customHeight="1" thickBot="1" x14ac:dyDescent="0.35">
      <c r="B48" s="18" t="s">
        <v>47</v>
      </c>
      <c r="C48" s="24"/>
      <c r="D48" s="24"/>
      <c r="E48" s="24"/>
      <c r="F48" s="24"/>
      <c r="G48" s="24"/>
      <c r="H48" s="24"/>
    </row>
    <row r="49" spans="1:25" ht="22.05" customHeight="1" thickBot="1" x14ac:dyDescent="0.35">
      <c r="A49" s="18" t="s">
        <v>73</v>
      </c>
      <c r="B49" s="16" t="s">
        <v>145</v>
      </c>
      <c r="C49" s="24"/>
      <c r="D49" s="24"/>
      <c r="E49" s="24"/>
      <c r="F49" s="24"/>
      <c r="G49" s="24" t="s">
        <v>38</v>
      </c>
      <c r="H49" s="24">
        <f t="shared" si="0"/>
        <v>5</v>
      </c>
    </row>
    <row r="50" spans="1:25" ht="22.05" customHeight="1" thickBot="1" x14ac:dyDescent="0.35">
      <c r="A50" s="21"/>
      <c r="B50" s="22"/>
      <c r="C50" s="25"/>
      <c r="D50" s="25"/>
      <c r="E50" s="25"/>
      <c r="F50" s="25"/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2.05" customHeight="1" thickBot="1" x14ac:dyDescent="0.35">
      <c r="B51" s="18" t="s">
        <v>30</v>
      </c>
      <c r="C51" s="24"/>
      <c r="D51" s="24"/>
      <c r="E51" s="24"/>
      <c r="F51" s="24"/>
      <c r="G51" s="24"/>
      <c r="H51" s="24"/>
    </row>
    <row r="52" spans="1:25" ht="22.05" customHeight="1" thickBot="1" x14ac:dyDescent="0.35">
      <c r="A52" s="18" t="s">
        <v>74</v>
      </c>
      <c r="B52" s="16" t="s">
        <v>146</v>
      </c>
      <c r="C52" s="24"/>
      <c r="D52" s="24"/>
      <c r="E52" s="24"/>
      <c r="F52" s="24" t="s">
        <v>38</v>
      </c>
      <c r="G52" s="24"/>
      <c r="H52" s="24">
        <f t="shared" si="0"/>
        <v>4</v>
      </c>
    </row>
    <row r="53" spans="1:25" ht="22.05" customHeight="1" thickBot="1" x14ac:dyDescent="0.35">
      <c r="A53" s="18" t="s">
        <v>75</v>
      </c>
      <c r="B53" s="16" t="s">
        <v>147</v>
      </c>
      <c r="C53" s="24"/>
      <c r="D53" s="24"/>
      <c r="E53" s="24"/>
      <c r="F53" s="24"/>
      <c r="G53" s="24" t="s">
        <v>38</v>
      </c>
      <c r="H53" s="24">
        <f t="shared" si="0"/>
        <v>5</v>
      </c>
    </row>
    <row r="54" spans="1:25" ht="22.05" customHeight="1" thickBot="1" x14ac:dyDescent="0.35">
      <c r="B54" s="18" t="s">
        <v>41</v>
      </c>
      <c r="C54" s="24"/>
      <c r="D54" s="24"/>
      <c r="E54" s="24"/>
      <c r="F54" s="24"/>
      <c r="G54" s="24"/>
      <c r="H54" s="24"/>
    </row>
    <row r="55" spans="1:25" ht="22.05" customHeight="1" thickBot="1" x14ac:dyDescent="0.35">
      <c r="A55" s="18" t="s">
        <v>76</v>
      </c>
      <c r="B55" s="16" t="s">
        <v>148</v>
      </c>
      <c r="C55" s="24" t="s">
        <v>38</v>
      </c>
      <c r="D55" s="24"/>
      <c r="E55" s="24"/>
      <c r="F55" s="24"/>
      <c r="G55" s="24"/>
      <c r="H55" s="24">
        <f t="shared" si="0"/>
        <v>1</v>
      </c>
    </row>
    <row r="56" spans="1:25" ht="22.05" customHeight="1" thickBot="1" x14ac:dyDescent="0.35">
      <c r="B56" s="18" t="s">
        <v>58</v>
      </c>
      <c r="C56" s="24"/>
      <c r="D56" s="24"/>
      <c r="E56" s="24"/>
      <c r="F56" s="24"/>
      <c r="G56" s="24"/>
      <c r="H56" s="24"/>
    </row>
    <row r="57" spans="1:25" ht="22.05" customHeight="1" thickBot="1" x14ac:dyDescent="0.35">
      <c r="A57" s="18" t="s">
        <v>77</v>
      </c>
      <c r="B57" s="16" t="s">
        <v>151</v>
      </c>
      <c r="C57" s="24"/>
      <c r="D57" s="24" t="s">
        <v>38</v>
      </c>
      <c r="E57" s="24"/>
      <c r="F57" s="24"/>
      <c r="G57" s="24"/>
      <c r="H57" s="24">
        <f t="shared" si="0"/>
        <v>2</v>
      </c>
    </row>
    <row r="58" spans="1:25" ht="22.05" customHeight="1" thickBot="1" x14ac:dyDescent="0.35">
      <c r="A58" s="18" t="s">
        <v>78</v>
      </c>
      <c r="B58" s="16" t="s">
        <v>149</v>
      </c>
      <c r="C58" s="24"/>
      <c r="D58" s="24"/>
      <c r="E58" s="24"/>
      <c r="F58" s="24" t="s">
        <v>38</v>
      </c>
      <c r="G58" s="24"/>
      <c r="H58" s="24">
        <f t="shared" si="0"/>
        <v>4</v>
      </c>
    </row>
    <row r="59" spans="1:25" ht="22.05" customHeight="1" thickBot="1" x14ac:dyDescent="0.35">
      <c r="B59" s="18" t="s">
        <v>47</v>
      </c>
      <c r="C59" s="24"/>
      <c r="D59" s="24"/>
      <c r="E59" s="24"/>
      <c r="F59" s="24"/>
      <c r="G59" s="24"/>
      <c r="H59" s="24"/>
    </row>
    <row r="60" spans="1:25" ht="22.05" customHeight="1" thickBot="1" x14ac:dyDescent="0.35">
      <c r="A60" s="18" t="s">
        <v>79</v>
      </c>
      <c r="B60" s="16" t="s">
        <v>150</v>
      </c>
      <c r="C60" s="24"/>
      <c r="D60" s="24" t="s">
        <v>38</v>
      </c>
      <c r="E60" s="24"/>
      <c r="F60" s="24"/>
      <c r="G60" s="24"/>
      <c r="H60" s="24">
        <f t="shared" si="0"/>
        <v>2</v>
      </c>
    </row>
    <row r="61" spans="1:25" ht="22.05" customHeight="1" thickBot="1" x14ac:dyDescent="0.35">
      <c r="A61" s="21"/>
      <c r="B61" s="22"/>
      <c r="C61" s="25"/>
      <c r="D61" s="25"/>
      <c r="E61" s="25"/>
      <c r="F61" s="25"/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22.05" customHeight="1" thickBot="1" x14ac:dyDescent="0.35">
      <c r="B62" s="18" t="s">
        <v>30</v>
      </c>
      <c r="C62" s="24"/>
      <c r="D62" s="24"/>
      <c r="E62" s="24"/>
      <c r="F62" s="24"/>
      <c r="G62" s="24"/>
      <c r="H62" s="24"/>
    </row>
    <row r="63" spans="1:25" ht="22.05" customHeight="1" thickBot="1" x14ac:dyDescent="0.35">
      <c r="A63" s="18" t="s">
        <v>80</v>
      </c>
      <c r="B63" s="16" t="s">
        <v>152</v>
      </c>
      <c r="C63" s="24"/>
      <c r="D63" s="24"/>
      <c r="E63" s="24"/>
      <c r="F63" s="24" t="s">
        <v>38</v>
      </c>
      <c r="G63" s="24"/>
      <c r="H63" s="24">
        <f t="shared" si="0"/>
        <v>4</v>
      </c>
    </row>
    <row r="64" spans="1:25" ht="22.05" customHeight="1" thickBot="1" x14ac:dyDescent="0.35">
      <c r="B64" s="18" t="s">
        <v>41</v>
      </c>
      <c r="C64" s="24"/>
      <c r="D64" s="24"/>
      <c r="E64" s="24"/>
      <c r="F64" s="24"/>
      <c r="G64" s="24"/>
      <c r="H64" s="24"/>
    </row>
    <row r="65" spans="1:8" ht="22.05" customHeight="1" thickBot="1" x14ac:dyDescent="0.35">
      <c r="A65" s="18" t="s">
        <v>81</v>
      </c>
      <c r="B65" s="16" t="s">
        <v>153</v>
      </c>
      <c r="C65" s="24"/>
      <c r="D65" s="24"/>
      <c r="E65" s="24"/>
      <c r="F65" s="24"/>
      <c r="G65" s="24" t="s">
        <v>38</v>
      </c>
      <c r="H65" s="24">
        <f t="shared" si="0"/>
        <v>5</v>
      </c>
    </row>
    <row r="66" spans="1:8" ht="22.05" customHeight="1" thickBot="1" x14ac:dyDescent="0.35">
      <c r="B66" s="18" t="s">
        <v>58</v>
      </c>
      <c r="C66" s="24"/>
      <c r="D66" s="24"/>
      <c r="E66" s="24"/>
      <c r="F66" s="24"/>
      <c r="G66" s="24"/>
      <c r="H66" s="24"/>
    </row>
    <row r="67" spans="1:8" ht="22.05" customHeight="1" thickBot="1" x14ac:dyDescent="0.35">
      <c r="A67" s="18" t="s">
        <v>82</v>
      </c>
      <c r="B67" s="16" t="s">
        <v>154</v>
      </c>
      <c r="C67" s="24"/>
      <c r="D67" s="24"/>
      <c r="E67" s="24"/>
      <c r="F67" s="24" t="s">
        <v>38</v>
      </c>
      <c r="G67" s="24"/>
      <c r="H67" s="24">
        <f t="shared" si="0"/>
        <v>4</v>
      </c>
    </row>
    <row r="68" spans="1:8" ht="22.05" customHeight="1" thickBot="1" x14ac:dyDescent="0.35">
      <c r="B68" s="18" t="s">
        <v>47</v>
      </c>
      <c r="C68" s="24"/>
      <c r="D68" s="24"/>
      <c r="E68" s="24"/>
      <c r="F68" s="24"/>
      <c r="G68" s="24"/>
      <c r="H68" s="24"/>
    </row>
    <row r="69" spans="1:8" ht="22.05" customHeight="1" thickBot="1" x14ac:dyDescent="0.35">
      <c r="A69" s="18" t="s">
        <v>83</v>
      </c>
      <c r="B69" s="16" t="s">
        <v>155</v>
      </c>
      <c r="C69" s="24"/>
      <c r="D69" s="24"/>
      <c r="E69" s="24"/>
      <c r="F69" s="24" t="s">
        <v>38</v>
      </c>
      <c r="G69" s="24"/>
      <c r="H69" s="24">
        <f t="shared" si="0"/>
        <v>4</v>
      </c>
    </row>
    <row r="70" spans="1:8" ht="22.05" customHeight="1" x14ac:dyDescent="0.3">
      <c r="C70" s="24"/>
      <c r="D70" s="24"/>
      <c r="E70" s="24"/>
      <c r="F70" s="24"/>
      <c r="G70" s="24"/>
      <c r="H70" s="24"/>
    </row>
    <row r="71" spans="1:8" ht="22.05" customHeight="1" x14ac:dyDescent="0.3">
      <c r="C71" s="24"/>
      <c r="D71" s="24"/>
      <c r="E71" s="24"/>
      <c r="F71" s="24"/>
      <c r="G71" s="24"/>
      <c r="H71" s="24"/>
    </row>
    <row r="72" spans="1:8" ht="22.05" customHeight="1" x14ac:dyDescent="0.3">
      <c r="C72" s="24"/>
      <c r="D72" s="24"/>
      <c r="E72" s="24"/>
      <c r="F72" s="24"/>
      <c r="G72" s="24"/>
      <c r="H72" s="24"/>
    </row>
    <row r="73" spans="1:8" ht="15" customHeight="1" x14ac:dyDescent="0.3">
      <c r="C73" s="24"/>
      <c r="D73" s="24"/>
      <c r="E73" s="24"/>
      <c r="F73" s="24"/>
      <c r="G73" s="24"/>
      <c r="H73" s="24"/>
    </row>
    <row r="74" spans="1:8" ht="15" customHeight="1" x14ac:dyDescent="0.3">
      <c r="C74" s="24"/>
      <c r="D74" s="24"/>
      <c r="E74" s="24"/>
      <c r="F74" s="24"/>
      <c r="G74" s="24"/>
      <c r="H74" s="24"/>
    </row>
    <row r="75" spans="1:8" ht="15" customHeight="1" x14ac:dyDescent="0.3">
      <c r="C75" s="24"/>
      <c r="D75" s="24"/>
      <c r="E75" s="24"/>
      <c r="F75" s="24"/>
      <c r="G75" s="24"/>
      <c r="H75" s="24"/>
    </row>
    <row r="76" spans="1:8" ht="15" customHeight="1" x14ac:dyDescent="0.3">
      <c r="C76" s="24"/>
      <c r="D76" s="24"/>
      <c r="E76" s="24"/>
      <c r="F76" s="24"/>
      <c r="G76" s="24"/>
      <c r="H76" s="24"/>
    </row>
    <row r="77" spans="1:8" ht="15" customHeight="1" x14ac:dyDescent="0.3">
      <c r="C77" s="24"/>
      <c r="D77" s="24"/>
      <c r="E77" s="24"/>
      <c r="F77" s="24"/>
      <c r="G77" s="24"/>
      <c r="H77" s="24"/>
    </row>
    <row r="78" spans="1:8" ht="15" customHeight="1" x14ac:dyDescent="0.3">
      <c r="C78" s="24"/>
      <c r="D78" s="24"/>
      <c r="E78" s="24"/>
      <c r="F78" s="24"/>
      <c r="G78" s="24"/>
      <c r="H78" s="24"/>
    </row>
    <row r="79" spans="1:8" ht="15" customHeight="1" x14ac:dyDescent="0.3">
      <c r="C79" s="24"/>
      <c r="D79" s="24"/>
      <c r="E79" s="24"/>
      <c r="F79" s="24"/>
      <c r="G79" s="24"/>
      <c r="H79" s="24"/>
    </row>
    <row r="80" spans="1:8" ht="15" customHeight="1" x14ac:dyDescent="0.3">
      <c r="C80" s="24"/>
      <c r="D80" s="24"/>
      <c r="E80" s="24"/>
      <c r="F80" s="24"/>
      <c r="G80" s="24"/>
      <c r="H80" s="24"/>
    </row>
    <row r="81" spans="3:8" ht="15" customHeight="1" x14ac:dyDescent="0.3">
      <c r="C81" s="24"/>
      <c r="D81" s="24"/>
      <c r="E81" s="24"/>
      <c r="F81" s="24"/>
      <c r="G81" s="24"/>
      <c r="H81" s="24"/>
    </row>
    <row r="82" spans="3:8" ht="15" customHeight="1" x14ac:dyDescent="0.3">
      <c r="C82" s="24"/>
      <c r="D82" s="24"/>
      <c r="E82" s="24"/>
      <c r="F82" s="24"/>
      <c r="G82" s="24"/>
      <c r="H82" s="24"/>
    </row>
    <row r="83" spans="3:8" ht="15" customHeight="1" x14ac:dyDescent="0.3">
      <c r="C83" s="24"/>
      <c r="D83" s="24"/>
      <c r="E83" s="24"/>
      <c r="F83" s="24"/>
      <c r="G83" s="24"/>
      <c r="H83" s="24"/>
    </row>
    <row r="84" spans="3:8" ht="15" customHeight="1" x14ac:dyDescent="0.3">
      <c r="C84" s="24"/>
      <c r="D84" s="24"/>
      <c r="E84" s="24"/>
      <c r="F84" s="24"/>
      <c r="G84" s="24"/>
      <c r="H84" s="24"/>
    </row>
    <row r="85" spans="3:8" ht="15" customHeight="1" x14ac:dyDescent="0.3">
      <c r="C85" s="24"/>
      <c r="D85" s="24"/>
      <c r="E85" s="24"/>
      <c r="F85" s="24"/>
      <c r="G85" s="24"/>
      <c r="H85" s="24"/>
    </row>
    <row r="86" spans="3:8" ht="15" customHeight="1" x14ac:dyDescent="0.3">
      <c r="C86" s="24"/>
      <c r="D86" s="24"/>
      <c r="E86" s="24"/>
      <c r="F86" s="24"/>
      <c r="G86" s="24"/>
      <c r="H86" s="24"/>
    </row>
    <row r="87" spans="3:8" ht="15" customHeight="1" x14ac:dyDescent="0.3">
      <c r="C87" s="24"/>
      <c r="D87" s="24"/>
      <c r="E87" s="24"/>
      <c r="F87" s="24"/>
      <c r="G87" s="24"/>
      <c r="H87" s="24"/>
    </row>
    <row r="88" spans="3:8" ht="15" customHeight="1" x14ac:dyDescent="0.3">
      <c r="C88" s="24"/>
      <c r="D88" s="24"/>
      <c r="E88" s="24"/>
      <c r="F88" s="24"/>
      <c r="G88" s="24"/>
      <c r="H88" s="24"/>
    </row>
    <row r="89" spans="3:8" ht="15" customHeight="1" x14ac:dyDescent="0.3">
      <c r="C89" s="24"/>
      <c r="D89" s="24"/>
      <c r="E89" s="24"/>
      <c r="F89" s="24"/>
      <c r="G89" s="24"/>
      <c r="H89" s="24"/>
    </row>
    <row r="90" spans="3:8" ht="15" customHeight="1" x14ac:dyDescent="0.3">
      <c r="C90" s="24"/>
      <c r="D90" s="24"/>
      <c r="E90" s="24"/>
      <c r="F90" s="24"/>
      <c r="G90" s="24"/>
      <c r="H90" s="24"/>
    </row>
    <row r="91" spans="3:8" ht="15" customHeight="1" x14ac:dyDescent="0.3">
      <c r="C91" s="24"/>
      <c r="D91" s="24"/>
      <c r="E91" s="24"/>
      <c r="F91" s="24"/>
      <c r="G91" s="24"/>
      <c r="H91" s="24"/>
    </row>
    <row r="92" spans="3:8" ht="15" customHeight="1" x14ac:dyDescent="0.3">
      <c r="C92" s="24"/>
      <c r="D92" s="24"/>
      <c r="E92" s="24"/>
      <c r="F92" s="24"/>
      <c r="G92" s="24"/>
      <c r="H92" s="24"/>
    </row>
    <row r="93" spans="3:8" ht="15" customHeight="1" x14ac:dyDescent="0.3">
      <c r="C93" s="24"/>
      <c r="D93" s="24"/>
      <c r="E93" s="24"/>
      <c r="F93" s="24"/>
      <c r="G93" s="24"/>
      <c r="H93" s="24"/>
    </row>
    <row r="94" spans="3:8" ht="15" customHeight="1" x14ac:dyDescent="0.3">
      <c r="C94" s="24"/>
      <c r="D94" s="24"/>
      <c r="E94" s="24"/>
      <c r="F94" s="24"/>
      <c r="G94" s="24"/>
      <c r="H94" s="24"/>
    </row>
    <row r="95" spans="3:8" ht="15" customHeight="1" x14ac:dyDescent="0.3">
      <c r="C95" s="24"/>
      <c r="D95" s="24"/>
      <c r="E95" s="24"/>
      <c r="F95" s="24"/>
      <c r="G95" s="24"/>
      <c r="H95" s="24"/>
    </row>
    <row r="96" spans="3:8" ht="15" customHeight="1" x14ac:dyDescent="0.3">
      <c r="C96" s="24"/>
      <c r="D96" s="24"/>
      <c r="E96" s="24"/>
      <c r="F96" s="24"/>
      <c r="G96" s="24"/>
      <c r="H96" s="24"/>
    </row>
    <row r="97" spans="3:8" ht="15" customHeight="1" x14ac:dyDescent="0.3">
      <c r="C97" s="24"/>
      <c r="D97" s="24"/>
      <c r="E97" s="24"/>
      <c r="F97" s="24"/>
      <c r="G97" s="24"/>
      <c r="H97" s="24"/>
    </row>
    <row r="98" spans="3:8" ht="15" customHeight="1" x14ac:dyDescent="0.3">
      <c r="C98" s="24"/>
      <c r="D98" s="24"/>
      <c r="E98" s="24"/>
      <c r="F98" s="24"/>
      <c r="G98" s="24"/>
      <c r="H98" s="24"/>
    </row>
    <row r="99" spans="3:8" ht="15" customHeight="1" x14ac:dyDescent="0.3">
      <c r="C99" s="24"/>
      <c r="D99" s="24"/>
      <c r="E99" s="24"/>
      <c r="F99" s="24"/>
      <c r="G99" s="24"/>
      <c r="H99" s="24"/>
    </row>
    <row r="100" spans="3:8" ht="15" customHeight="1" x14ac:dyDescent="0.3">
      <c r="C100" s="24"/>
      <c r="D100" s="24"/>
      <c r="E100" s="24"/>
      <c r="F100" s="24"/>
      <c r="G100" s="24"/>
      <c r="H100" s="24"/>
    </row>
    <row r="101" spans="3:8" ht="15" customHeight="1" x14ac:dyDescent="0.3">
      <c r="C101" s="24"/>
      <c r="D101" s="24"/>
      <c r="E101" s="24"/>
      <c r="F101" s="24"/>
      <c r="G101" s="24"/>
      <c r="H101" s="24"/>
    </row>
    <row r="102" spans="3:8" ht="15" customHeight="1" x14ac:dyDescent="0.3">
      <c r="C102" s="24"/>
      <c r="D102" s="24"/>
      <c r="E102" s="24"/>
      <c r="F102" s="24"/>
      <c r="G102" s="24"/>
      <c r="H102" s="24"/>
    </row>
    <row r="103" spans="3:8" ht="15" customHeight="1" x14ac:dyDescent="0.3">
      <c r="C103" s="24"/>
      <c r="D103" s="24"/>
      <c r="E103" s="24"/>
      <c r="F103" s="24"/>
      <c r="G103" s="24"/>
      <c r="H103" s="24"/>
    </row>
    <row r="104" spans="3:8" ht="15" customHeight="1" x14ac:dyDescent="0.3">
      <c r="C104" s="24"/>
      <c r="D104" s="24"/>
      <c r="E104" s="24"/>
      <c r="F104" s="24"/>
      <c r="G104" s="24"/>
      <c r="H104" s="24"/>
    </row>
    <row r="105" spans="3:8" ht="15" customHeight="1" x14ac:dyDescent="0.3">
      <c r="C105" s="24"/>
      <c r="D105" s="24"/>
      <c r="E105" s="24"/>
      <c r="F105" s="24"/>
      <c r="G105" s="24"/>
      <c r="H105" s="24"/>
    </row>
    <row r="106" spans="3:8" ht="15" customHeight="1" x14ac:dyDescent="0.3">
      <c r="C106" s="24"/>
      <c r="D106" s="24"/>
      <c r="E106" s="24"/>
      <c r="F106" s="24"/>
      <c r="G106" s="24"/>
      <c r="H106" s="24"/>
    </row>
    <row r="107" spans="3:8" ht="15" customHeight="1" x14ac:dyDescent="0.3">
      <c r="C107" s="24"/>
      <c r="D107" s="24"/>
      <c r="E107" s="24"/>
      <c r="F107" s="24"/>
      <c r="G107" s="24"/>
      <c r="H107" s="24"/>
    </row>
    <row r="108" spans="3:8" ht="15" customHeight="1" x14ac:dyDescent="0.3">
      <c r="C108" s="24"/>
      <c r="D108" s="24"/>
      <c r="E108" s="24"/>
      <c r="F108" s="24"/>
      <c r="G108" s="24"/>
      <c r="H108" s="24"/>
    </row>
    <row r="109" spans="3:8" ht="15" customHeight="1" x14ac:dyDescent="0.3">
      <c r="C109" s="24"/>
      <c r="D109" s="24"/>
      <c r="E109" s="24"/>
      <c r="F109" s="24"/>
      <c r="G109" s="24"/>
      <c r="H109" s="24"/>
    </row>
    <row r="110" spans="3:8" ht="15" customHeight="1" x14ac:dyDescent="0.3">
      <c r="C110" s="24"/>
      <c r="D110" s="24"/>
      <c r="E110" s="24"/>
      <c r="F110" s="24"/>
      <c r="G110" s="24"/>
      <c r="H110" s="24"/>
    </row>
    <row r="111" spans="3:8" ht="15" customHeight="1" x14ac:dyDescent="0.3">
      <c r="C111" s="24"/>
      <c r="D111" s="24"/>
      <c r="E111" s="24"/>
      <c r="F111" s="24"/>
      <c r="G111" s="24"/>
      <c r="H111" s="24"/>
    </row>
    <row r="112" spans="3:8" ht="15" customHeight="1" x14ac:dyDescent="0.3">
      <c r="C112" s="24"/>
      <c r="D112" s="24"/>
      <c r="E112" s="24"/>
      <c r="F112" s="24"/>
      <c r="G112" s="24"/>
      <c r="H112" s="24"/>
    </row>
    <row r="113" spans="3:8" ht="15" customHeight="1" x14ac:dyDescent="0.3">
      <c r="C113" s="24"/>
      <c r="D113" s="24"/>
      <c r="E113" s="24"/>
      <c r="F113" s="24"/>
      <c r="G113" s="24"/>
      <c r="H113" s="24"/>
    </row>
    <row r="114" spans="3:8" ht="15" customHeight="1" x14ac:dyDescent="0.3">
      <c r="C114" s="24"/>
      <c r="D114" s="24"/>
      <c r="E114" s="24"/>
      <c r="F114" s="24"/>
      <c r="G114" s="24"/>
      <c r="H114" s="24"/>
    </row>
    <row r="115" spans="3:8" ht="15" customHeight="1" x14ac:dyDescent="0.3">
      <c r="C115" s="24"/>
      <c r="D115" s="24"/>
      <c r="E115" s="24"/>
      <c r="F115" s="24"/>
      <c r="G115" s="24"/>
      <c r="H115" s="24"/>
    </row>
    <row r="116" spans="3:8" ht="15" customHeight="1" x14ac:dyDescent="0.3">
      <c r="C116" s="24"/>
      <c r="D116" s="24"/>
      <c r="E116" s="24"/>
      <c r="F116" s="24"/>
      <c r="G116" s="24"/>
      <c r="H116" s="24"/>
    </row>
    <row r="117" spans="3:8" ht="15" customHeight="1" x14ac:dyDescent="0.3">
      <c r="C117" s="24"/>
      <c r="D117" s="24"/>
      <c r="E117" s="24"/>
      <c r="F117" s="24"/>
      <c r="G117" s="24"/>
      <c r="H117" s="24"/>
    </row>
    <row r="118" spans="3:8" ht="15" customHeight="1" x14ac:dyDescent="0.3">
      <c r="C118" s="24"/>
      <c r="D118" s="24"/>
      <c r="E118" s="24"/>
      <c r="F118" s="24"/>
      <c r="G118" s="24"/>
      <c r="H118" s="24"/>
    </row>
    <row r="119" spans="3:8" ht="15" customHeight="1" x14ac:dyDescent="0.3">
      <c r="C119" s="24"/>
      <c r="D119" s="24"/>
      <c r="E119" s="24"/>
      <c r="F119" s="24"/>
      <c r="G119" s="24"/>
      <c r="H119" s="24"/>
    </row>
    <row r="120" spans="3:8" ht="15" customHeight="1" x14ac:dyDescent="0.3">
      <c r="C120" s="24"/>
      <c r="D120" s="24"/>
      <c r="E120" s="24"/>
      <c r="F120" s="24"/>
      <c r="G120" s="24"/>
      <c r="H120" s="24"/>
    </row>
    <row r="121" spans="3:8" ht="15" customHeight="1" x14ac:dyDescent="0.3">
      <c r="C121" s="24"/>
      <c r="D121" s="24"/>
      <c r="E121" s="24"/>
      <c r="F121" s="24"/>
      <c r="G121" s="24"/>
      <c r="H121" s="24"/>
    </row>
    <row r="122" spans="3:8" ht="15" customHeight="1" x14ac:dyDescent="0.3">
      <c r="C122" s="24"/>
      <c r="D122" s="24"/>
      <c r="E122" s="24"/>
      <c r="F122" s="24"/>
      <c r="G122" s="24"/>
      <c r="H122" s="24"/>
    </row>
    <row r="123" spans="3:8" ht="15" customHeight="1" x14ac:dyDescent="0.3">
      <c r="C123" s="24"/>
      <c r="D123" s="24"/>
      <c r="E123" s="24"/>
      <c r="F123" s="24"/>
      <c r="G123" s="24"/>
      <c r="H123" s="24"/>
    </row>
    <row r="124" spans="3:8" ht="15" customHeight="1" x14ac:dyDescent="0.3">
      <c r="C124" s="24"/>
      <c r="D124" s="24"/>
      <c r="E124" s="24"/>
      <c r="F124" s="24"/>
      <c r="G124" s="24"/>
      <c r="H124" s="24"/>
    </row>
    <row r="125" spans="3:8" ht="15" customHeight="1" x14ac:dyDescent="0.3">
      <c r="C125" s="24"/>
      <c r="D125" s="24"/>
      <c r="E125" s="24"/>
      <c r="F125" s="24"/>
      <c r="G125" s="24"/>
      <c r="H125" s="24"/>
    </row>
    <row r="126" spans="3:8" ht="15" customHeight="1" x14ac:dyDescent="0.3">
      <c r="C126" s="24"/>
      <c r="D126" s="24"/>
      <c r="E126" s="24"/>
      <c r="F126" s="24"/>
      <c r="G126" s="24"/>
      <c r="H126" s="24"/>
    </row>
    <row r="127" spans="3:8" ht="15" customHeight="1" x14ac:dyDescent="0.3">
      <c r="C127" s="24"/>
      <c r="D127" s="24"/>
      <c r="E127" s="24"/>
      <c r="F127" s="24"/>
      <c r="G127" s="24"/>
      <c r="H127" s="24"/>
    </row>
    <row r="128" spans="3:8" ht="15" customHeight="1" x14ac:dyDescent="0.3">
      <c r="C128" s="24"/>
      <c r="D128" s="24"/>
      <c r="E128" s="24"/>
      <c r="F128" s="24"/>
      <c r="G128" s="24"/>
      <c r="H128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8CD5-11BB-44C5-9919-8826CA3520E2}">
  <dimension ref="A1:Y128"/>
  <sheetViews>
    <sheetView topLeftCell="A43" zoomScale="60" workbookViewId="0">
      <selection activeCell="E72" sqref="E72"/>
    </sheetView>
  </sheetViews>
  <sheetFormatPr defaultRowHeight="14.4" x14ac:dyDescent="0.3"/>
  <cols>
    <col min="1" max="1" width="17" customWidth="1"/>
    <col min="2" max="2" width="123.5546875" customWidth="1"/>
    <col min="3" max="3" width="13.109375" customWidth="1"/>
    <col min="4" max="4" width="15.5546875" customWidth="1"/>
    <col min="5" max="5" width="11" customWidth="1"/>
    <col min="6" max="6" width="18.33203125" customWidth="1"/>
    <col min="7" max="7" width="14.5546875" customWidth="1"/>
    <col min="8" max="8" width="13" customWidth="1"/>
  </cols>
  <sheetData>
    <row r="1" spans="1:25" s="20" customFormat="1" ht="22.05" customHeight="1" thickBot="1" x14ac:dyDescent="0.3">
      <c r="B1" s="18" t="s">
        <v>30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37</v>
      </c>
      <c r="B2" s="16" t="s">
        <v>121</v>
      </c>
      <c r="C2" s="24"/>
      <c r="D2" s="24"/>
      <c r="E2" s="24"/>
      <c r="F2" s="24" t="s">
        <v>38</v>
      </c>
      <c r="G2" s="24"/>
      <c r="H2" s="24">
        <f>IF(C2="X",1)+IF(D2="X",2)+IF(E2="X",3)+IF(F2="X",4)+IF(G2="X",5)</f>
        <v>4</v>
      </c>
    </row>
    <row r="3" spans="1:25" ht="22.05" customHeight="1" thickBot="1" x14ac:dyDescent="0.35">
      <c r="A3" s="18" t="s">
        <v>39</v>
      </c>
      <c r="B3" s="16" t="s">
        <v>40</v>
      </c>
      <c r="C3" s="24"/>
      <c r="D3" s="24"/>
      <c r="E3" s="24"/>
      <c r="F3" s="24" t="s">
        <v>38</v>
      </c>
      <c r="G3" s="24"/>
      <c r="H3" s="24">
        <f>IF(C3="X",1)+IF(D3="X",2)+IF(E3="X",3)+IF(F3="X",4)+IF(G3="X",5)</f>
        <v>4</v>
      </c>
    </row>
    <row r="4" spans="1:25" ht="22.05" customHeight="1" thickBot="1" x14ac:dyDescent="0.35">
      <c r="B4" s="18" t="s">
        <v>41</v>
      </c>
      <c r="C4" s="24"/>
      <c r="D4" s="24"/>
      <c r="E4" s="24"/>
      <c r="F4" s="24"/>
      <c r="G4" s="24"/>
      <c r="H4" s="24"/>
    </row>
    <row r="5" spans="1:25" ht="22.05" customHeight="1" thickBot="1" x14ac:dyDescent="0.35">
      <c r="A5" s="18" t="s">
        <v>42</v>
      </c>
      <c r="B5" s="16" t="s">
        <v>123</v>
      </c>
      <c r="C5" s="24"/>
      <c r="D5" s="24"/>
      <c r="E5" s="24"/>
      <c r="F5" s="24"/>
      <c r="G5" s="24" t="s">
        <v>38</v>
      </c>
      <c r="H5" s="24">
        <f>IF(C5="X",1)+IF(D5="X",2)+IF(E5="X",3)+IF(F5="X",4)+IF(G5="X",5)</f>
        <v>5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  <c r="H7" s="24"/>
    </row>
    <row r="8" spans="1:25" ht="22.05" customHeight="1" thickBot="1" x14ac:dyDescent="0.35">
      <c r="A8" s="18" t="s">
        <v>43</v>
      </c>
      <c r="B8" s="16" t="s">
        <v>126</v>
      </c>
      <c r="C8" s="24"/>
      <c r="D8" s="24"/>
      <c r="E8" s="24"/>
      <c r="F8" s="24" t="s">
        <v>38</v>
      </c>
      <c r="G8" s="24"/>
      <c r="H8" s="24">
        <f t="shared" ref="H8:H69" si="0">IF(C8="X",1)+IF(D8="X",2)+IF(E8="X",3)+IF(F8="X",4)+IF(G8="X",5)</f>
        <v>4</v>
      </c>
    </row>
    <row r="9" spans="1:25" ht="22.05" customHeight="1" thickBot="1" x14ac:dyDescent="0.35">
      <c r="A9" s="18" t="s">
        <v>45</v>
      </c>
      <c r="B9" s="16" t="s">
        <v>44</v>
      </c>
      <c r="C9" s="24"/>
      <c r="D9" s="24"/>
      <c r="E9" s="24"/>
      <c r="F9" s="24" t="s">
        <v>38</v>
      </c>
      <c r="G9" s="24"/>
      <c r="H9" s="24">
        <f t="shared" si="0"/>
        <v>4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  <c r="H10" s="24"/>
    </row>
    <row r="11" spans="1:25" ht="22.05" customHeight="1" thickBot="1" x14ac:dyDescent="0.35">
      <c r="A11" s="18" t="s">
        <v>46</v>
      </c>
      <c r="B11" s="16" t="s">
        <v>124</v>
      </c>
      <c r="C11" s="24"/>
      <c r="D11" s="24"/>
      <c r="E11" s="24"/>
      <c r="F11" s="24" t="s">
        <v>38</v>
      </c>
      <c r="G11" s="24"/>
      <c r="H11" s="24">
        <f t="shared" si="0"/>
        <v>4</v>
      </c>
    </row>
    <row r="12" spans="1:25" ht="22.05" customHeight="1" thickBot="1" x14ac:dyDescent="0.35">
      <c r="B12" s="18" t="s">
        <v>47</v>
      </c>
      <c r="C12" s="24"/>
      <c r="D12" s="24"/>
      <c r="E12" s="24"/>
      <c r="F12" s="24"/>
      <c r="G12" s="24"/>
      <c r="H12" s="24"/>
    </row>
    <row r="13" spans="1:25" ht="22.05" customHeight="1" thickBot="1" x14ac:dyDescent="0.35">
      <c r="A13" s="18" t="s">
        <v>48</v>
      </c>
      <c r="B13" s="16" t="s">
        <v>125</v>
      </c>
      <c r="C13" s="24"/>
      <c r="D13" s="24"/>
      <c r="E13" s="24"/>
      <c r="F13" s="24"/>
      <c r="G13" s="24" t="s">
        <v>38</v>
      </c>
      <c r="H13" s="24">
        <f t="shared" si="0"/>
        <v>5</v>
      </c>
    </row>
    <row r="14" spans="1:25" ht="22.05" customHeight="1" thickBot="1" x14ac:dyDescent="0.35">
      <c r="A14" s="18" t="s">
        <v>49</v>
      </c>
      <c r="B14" s="16" t="s">
        <v>127</v>
      </c>
      <c r="C14" s="24"/>
      <c r="D14" s="24"/>
      <c r="E14" s="24" t="s">
        <v>38</v>
      </c>
      <c r="F14" s="24"/>
      <c r="G14" s="24"/>
      <c r="H14" s="24">
        <f t="shared" si="0"/>
        <v>3</v>
      </c>
    </row>
    <row r="15" spans="1:25" ht="22.05" customHeight="1" thickBot="1" x14ac:dyDescent="0.35">
      <c r="A15" s="21"/>
      <c r="B15" s="22"/>
      <c r="C15" s="25"/>
      <c r="D15" s="25"/>
      <c r="E15" s="25"/>
      <c r="F15" s="25"/>
      <c r="G15" s="25"/>
      <c r="H15" s="25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22.05" customHeight="1" thickBot="1" x14ac:dyDescent="0.35">
      <c r="B16" s="18" t="s">
        <v>30</v>
      </c>
      <c r="C16" s="24"/>
      <c r="D16" s="24"/>
      <c r="E16" s="24"/>
      <c r="F16" s="24"/>
      <c r="G16" s="24"/>
      <c r="H16" s="24"/>
    </row>
    <row r="17" spans="1:25" ht="22.05" customHeight="1" thickBot="1" x14ac:dyDescent="0.35">
      <c r="A17" s="18" t="s">
        <v>50</v>
      </c>
      <c r="B17" s="16" t="s">
        <v>128</v>
      </c>
      <c r="C17" s="24"/>
      <c r="D17" s="24"/>
      <c r="E17" s="24"/>
      <c r="F17" s="24"/>
      <c r="G17" s="24" t="s">
        <v>38</v>
      </c>
      <c r="H17" s="24">
        <f t="shared" si="0"/>
        <v>5</v>
      </c>
    </row>
    <row r="18" spans="1:25" ht="22.05" customHeight="1" thickBot="1" x14ac:dyDescent="0.35">
      <c r="A18" s="18" t="s">
        <v>51</v>
      </c>
      <c r="B18" s="16" t="s">
        <v>131</v>
      </c>
      <c r="C18" s="24"/>
      <c r="D18" s="24"/>
      <c r="E18" s="24"/>
      <c r="F18" s="24"/>
      <c r="G18" s="24" t="s">
        <v>38</v>
      </c>
      <c r="H18" s="24">
        <f t="shared" si="0"/>
        <v>5</v>
      </c>
    </row>
    <row r="19" spans="1:25" ht="22.05" customHeight="1" thickBot="1" x14ac:dyDescent="0.35">
      <c r="A19" s="18" t="s">
        <v>129</v>
      </c>
      <c r="B19" s="16" t="s">
        <v>52</v>
      </c>
      <c r="C19" s="24"/>
      <c r="D19" s="24" t="s">
        <v>38</v>
      </c>
      <c r="E19" s="24"/>
      <c r="F19" s="24"/>
      <c r="G19" s="24"/>
      <c r="H19" s="24">
        <f t="shared" si="0"/>
        <v>2</v>
      </c>
    </row>
    <row r="20" spans="1:25" ht="22.05" customHeight="1" thickBot="1" x14ac:dyDescent="0.35">
      <c r="A20" s="18" t="s">
        <v>130</v>
      </c>
      <c r="B20" s="16" t="s">
        <v>122</v>
      </c>
      <c r="C20" s="24"/>
      <c r="D20" s="24"/>
      <c r="E20" s="24" t="s">
        <v>38</v>
      </c>
      <c r="F20" s="24"/>
      <c r="G20" s="24"/>
      <c r="H20" s="24">
        <f t="shared" si="0"/>
        <v>3</v>
      </c>
    </row>
    <row r="21" spans="1:25" ht="22.05" customHeight="1" thickBot="1" x14ac:dyDescent="0.35">
      <c r="B21" s="18" t="s">
        <v>41</v>
      </c>
      <c r="C21" s="24"/>
      <c r="D21" s="24"/>
      <c r="E21" s="24"/>
      <c r="F21" s="24"/>
      <c r="G21" s="24"/>
      <c r="H21" s="24"/>
    </row>
    <row r="22" spans="1:25" ht="22.05" customHeight="1" thickBot="1" x14ac:dyDescent="0.35">
      <c r="A22" s="18" t="s">
        <v>53</v>
      </c>
      <c r="B22" s="16" t="s">
        <v>132</v>
      </c>
      <c r="C22" s="24"/>
      <c r="D22" s="24"/>
      <c r="E22" s="24" t="s">
        <v>38</v>
      </c>
      <c r="F22" s="24"/>
      <c r="G22" s="24"/>
      <c r="H22" s="24">
        <f t="shared" si="0"/>
        <v>3</v>
      </c>
    </row>
    <row r="23" spans="1:25" ht="22.05" customHeight="1" thickBot="1" x14ac:dyDescent="0.35">
      <c r="B23" s="18" t="s">
        <v>47</v>
      </c>
      <c r="C23" s="24"/>
      <c r="D23" s="24"/>
      <c r="E23" s="24"/>
      <c r="F23" s="24"/>
      <c r="G23" s="24"/>
      <c r="H23" s="24"/>
    </row>
    <row r="24" spans="1:25" ht="22.05" customHeight="1" thickBot="1" x14ac:dyDescent="0.35">
      <c r="A24" s="18" t="s">
        <v>54</v>
      </c>
      <c r="B24" s="16" t="s">
        <v>55</v>
      </c>
      <c r="C24" s="24"/>
      <c r="D24" s="24"/>
      <c r="E24" s="24"/>
      <c r="F24" s="24" t="s">
        <v>38</v>
      </c>
      <c r="G24" s="24"/>
      <c r="H24" s="24">
        <f t="shared" si="0"/>
        <v>4</v>
      </c>
    </row>
    <row r="25" spans="1:25" ht="22.05" customHeight="1" thickBot="1" x14ac:dyDescent="0.35">
      <c r="A25" s="21"/>
      <c r="B25" s="22"/>
      <c r="C25" s="25"/>
      <c r="D25" s="25"/>
      <c r="E25" s="25"/>
      <c r="F25" s="25"/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22.05" customHeight="1" thickBot="1" x14ac:dyDescent="0.35">
      <c r="B26" s="18" t="s">
        <v>41</v>
      </c>
      <c r="C26" s="24"/>
      <c r="D26" s="24"/>
      <c r="E26" s="24"/>
      <c r="F26" s="24"/>
      <c r="G26" s="24"/>
      <c r="H26" s="24"/>
    </row>
    <row r="27" spans="1:25" ht="22.05" customHeight="1" thickBot="1" x14ac:dyDescent="0.35">
      <c r="A27" s="18" t="s">
        <v>56</v>
      </c>
      <c r="B27" s="16" t="s">
        <v>180</v>
      </c>
      <c r="C27" s="24"/>
      <c r="D27" s="24"/>
      <c r="E27" s="24"/>
      <c r="F27" s="24" t="s">
        <v>38</v>
      </c>
      <c r="G27" s="24"/>
      <c r="H27" s="24">
        <f t="shared" si="0"/>
        <v>4</v>
      </c>
    </row>
    <row r="28" spans="1:25" ht="22.05" customHeight="1" thickBot="1" x14ac:dyDescent="0.35">
      <c r="A28" s="18" t="s">
        <v>133</v>
      </c>
      <c r="B28" s="16" t="s">
        <v>136</v>
      </c>
      <c r="C28" s="24"/>
      <c r="D28" s="24"/>
      <c r="E28" s="24"/>
      <c r="F28" s="24"/>
      <c r="G28" s="24" t="s">
        <v>38</v>
      </c>
      <c r="H28" s="24">
        <f t="shared" si="0"/>
        <v>5</v>
      </c>
    </row>
    <row r="29" spans="1:25" ht="22.05" customHeight="1" thickBot="1" x14ac:dyDescent="0.35">
      <c r="B29" s="18" t="s">
        <v>58</v>
      </c>
      <c r="C29" s="24"/>
      <c r="D29" s="24"/>
      <c r="E29" s="24"/>
      <c r="F29" s="24"/>
      <c r="G29" s="24"/>
      <c r="H29" s="24"/>
    </row>
    <row r="30" spans="1:25" ht="22.05" customHeight="1" thickBot="1" x14ac:dyDescent="0.35">
      <c r="A30" s="18" t="s">
        <v>59</v>
      </c>
      <c r="B30" s="16" t="s">
        <v>134</v>
      </c>
      <c r="C30" s="24"/>
      <c r="D30" s="24"/>
      <c r="E30" s="24" t="s">
        <v>38</v>
      </c>
      <c r="F30" s="24"/>
      <c r="G30" s="24"/>
      <c r="H30" s="24">
        <f t="shared" si="0"/>
        <v>3</v>
      </c>
    </row>
    <row r="31" spans="1:25" ht="22.05" customHeight="1" thickBot="1" x14ac:dyDescent="0.35">
      <c r="A31" s="18" t="s">
        <v>60</v>
      </c>
      <c r="B31" s="16" t="s">
        <v>135</v>
      </c>
      <c r="C31" s="24"/>
      <c r="D31" s="24"/>
      <c r="E31" s="24"/>
      <c r="F31" s="24"/>
      <c r="G31" s="24" t="s">
        <v>38</v>
      </c>
      <c r="H31" s="24">
        <f t="shared" si="0"/>
        <v>5</v>
      </c>
    </row>
    <row r="32" spans="1:25" ht="22.05" customHeight="1" thickBot="1" x14ac:dyDescent="0.35">
      <c r="B32" s="18" t="s">
        <v>47</v>
      </c>
      <c r="C32" s="24"/>
      <c r="D32" s="24"/>
      <c r="E32" s="24"/>
      <c r="F32" s="24"/>
      <c r="G32" s="24"/>
      <c r="H32" s="24"/>
    </row>
    <row r="33" spans="1:25" ht="22.05" customHeight="1" thickBot="1" x14ac:dyDescent="0.35">
      <c r="A33" s="18" t="s">
        <v>61</v>
      </c>
      <c r="B33" s="16" t="s">
        <v>62</v>
      </c>
      <c r="C33" s="24"/>
      <c r="D33" s="24"/>
      <c r="E33" s="24"/>
      <c r="F33" s="24" t="s">
        <v>38</v>
      </c>
      <c r="G33" s="24"/>
      <c r="H33" s="24">
        <f t="shared" si="0"/>
        <v>4</v>
      </c>
    </row>
    <row r="34" spans="1:25" ht="22.05" customHeight="1" thickBot="1" x14ac:dyDescent="0.35">
      <c r="A34" s="18" t="s">
        <v>63</v>
      </c>
      <c r="B34" s="16" t="s">
        <v>137</v>
      </c>
      <c r="C34" s="24"/>
      <c r="D34" s="24"/>
      <c r="E34" s="24"/>
      <c r="F34" s="24"/>
      <c r="G34" s="24" t="s">
        <v>38</v>
      </c>
      <c r="H34" s="24">
        <f t="shared" si="0"/>
        <v>5</v>
      </c>
    </row>
    <row r="35" spans="1:25" ht="22.05" customHeight="1" thickBot="1" x14ac:dyDescent="0.35">
      <c r="A35" s="18" t="s">
        <v>64</v>
      </c>
      <c r="B35" s="16" t="s">
        <v>138</v>
      </c>
      <c r="C35" s="24"/>
      <c r="D35" s="24" t="s">
        <v>38</v>
      </c>
      <c r="E35" s="24"/>
      <c r="F35" s="24"/>
      <c r="G35" s="24"/>
      <c r="H35" s="24">
        <f t="shared" si="0"/>
        <v>2</v>
      </c>
    </row>
    <row r="36" spans="1:25" ht="22.05" customHeight="1" thickBot="1" x14ac:dyDescent="0.35">
      <c r="A36" s="21"/>
      <c r="B36" s="22"/>
      <c r="C36" s="25"/>
      <c r="D36" s="25"/>
      <c r="E36" s="25"/>
      <c r="F36" s="25"/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22.05" customHeight="1" thickBot="1" x14ac:dyDescent="0.35">
      <c r="B37" s="18" t="s">
        <v>41</v>
      </c>
      <c r="C37" s="24"/>
      <c r="D37" s="24"/>
      <c r="E37" s="24"/>
      <c r="F37" s="24"/>
      <c r="G37" s="24"/>
      <c r="H37" s="24"/>
    </row>
    <row r="38" spans="1:25" ht="22.05" customHeight="1" thickBot="1" x14ac:dyDescent="0.35">
      <c r="A38" s="18" t="s">
        <v>65</v>
      </c>
      <c r="B38" s="16" t="s">
        <v>66</v>
      </c>
      <c r="C38" s="24"/>
      <c r="D38" s="24"/>
      <c r="E38" s="24" t="s">
        <v>38</v>
      </c>
      <c r="F38" s="24"/>
      <c r="G38" s="24"/>
      <c r="H38" s="24">
        <f t="shared" si="0"/>
        <v>3</v>
      </c>
    </row>
    <row r="39" spans="1:25" ht="22.05" customHeight="1" thickBot="1" x14ac:dyDescent="0.35">
      <c r="A39" s="18" t="s">
        <v>67</v>
      </c>
      <c r="B39" s="16" t="s">
        <v>139</v>
      </c>
      <c r="C39" s="24"/>
      <c r="D39" s="24"/>
      <c r="E39" s="24"/>
      <c r="F39" s="24"/>
      <c r="G39" s="24" t="s">
        <v>38</v>
      </c>
      <c r="H39" s="24">
        <f t="shared" si="0"/>
        <v>5</v>
      </c>
    </row>
    <row r="40" spans="1:25" ht="22.05" customHeight="1" thickBot="1" x14ac:dyDescent="0.35">
      <c r="B40" s="18" t="s">
        <v>58</v>
      </c>
      <c r="C40" s="24"/>
      <c r="D40" s="24"/>
      <c r="E40" s="24"/>
      <c r="F40" s="24"/>
      <c r="G40" s="24"/>
      <c r="H40" s="24"/>
    </row>
    <row r="41" spans="1:25" ht="22.05" customHeight="1" thickBot="1" x14ac:dyDescent="0.35">
      <c r="A41" s="18" t="s">
        <v>68</v>
      </c>
      <c r="B41" s="16" t="s">
        <v>140</v>
      </c>
      <c r="C41" s="24"/>
      <c r="D41" s="24" t="s">
        <v>38</v>
      </c>
      <c r="E41" s="24"/>
      <c r="F41" s="24"/>
      <c r="G41" s="24"/>
      <c r="H41" s="24">
        <f t="shared" si="0"/>
        <v>2</v>
      </c>
    </row>
    <row r="42" spans="1:25" ht="22.05" customHeight="1" thickBot="1" x14ac:dyDescent="0.35">
      <c r="A42" s="18" t="s">
        <v>69</v>
      </c>
      <c r="B42" s="16" t="s">
        <v>141</v>
      </c>
      <c r="C42" s="24"/>
      <c r="D42" s="24" t="s">
        <v>38</v>
      </c>
      <c r="E42" s="24"/>
      <c r="F42" s="24"/>
      <c r="G42" s="24"/>
      <c r="H42" s="24">
        <f t="shared" si="0"/>
        <v>2</v>
      </c>
    </row>
    <row r="43" spans="1:25" ht="22.05" customHeight="1" thickBot="1" x14ac:dyDescent="0.35">
      <c r="A43" s="18" t="s">
        <v>142</v>
      </c>
      <c r="B43" s="16" t="s">
        <v>143</v>
      </c>
      <c r="C43" s="24"/>
      <c r="D43" s="24"/>
      <c r="E43" s="24"/>
      <c r="F43" s="24"/>
      <c r="G43" s="24" t="s">
        <v>38</v>
      </c>
      <c r="H43" s="24">
        <f t="shared" si="0"/>
        <v>5</v>
      </c>
    </row>
    <row r="44" spans="1:25" ht="22.05" customHeight="1" thickBot="1" x14ac:dyDescent="0.35">
      <c r="A44" s="21"/>
      <c r="B44" s="22"/>
      <c r="C44" s="25"/>
      <c r="D44" s="25"/>
      <c r="E44" s="25"/>
      <c r="F44" s="25"/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2.05" customHeight="1" thickBot="1" x14ac:dyDescent="0.35">
      <c r="B45" s="18" t="s">
        <v>30</v>
      </c>
      <c r="C45" s="24"/>
      <c r="D45" s="24"/>
      <c r="E45" s="24"/>
      <c r="F45" s="24"/>
      <c r="G45" s="24"/>
      <c r="H45" s="24"/>
    </row>
    <row r="46" spans="1:25" ht="22.05" customHeight="1" thickBot="1" x14ac:dyDescent="0.35">
      <c r="A46" s="18" t="s">
        <v>70</v>
      </c>
      <c r="B46" s="16" t="s">
        <v>71</v>
      </c>
      <c r="C46" s="24"/>
      <c r="D46" s="24"/>
      <c r="E46" s="24"/>
      <c r="F46" s="24" t="s">
        <v>38</v>
      </c>
      <c r="G46" s="24"/>
      <c r="H46" s="24">
        <f t="shared" si="0"/>
        <v>4</v>
      </c>
    </row>
    <row r="47" spans="1:25" ht="22.05" customHeight="1" thickBot="1" x14ac:dyDescent="0.35">
      <c r="A47" s="18" t="s">
        <v>72</v>
      </c>
      <c r="B47" s="16" t="s">
        <v>144</v>
      </c>
      <c r="C47" s="24"/>
      <c r="D47" s="24"/>
      <c r="E47" s="24"/>
      <c r="F47" s="24" t="s">
        <v>38</v>
      </c>
      <c r="G47" s="24"/>
      <c r="H47" s="24">
        <f t="shared" si="0"/>
        <v>4</v>
      </c>
    </row>
    <row r="48" spans="1:25" ht="22.05" customHeight="1" thickBot="1" x14ac:dyDescent="0.35">
      <c r="B48" s="18" t="s">
        <v>47</v>
      </c>
      <c r="C48" s="24"/>
      <c r="D48" s="24"/>
      <c r="E48" s="24"/>
      <c r="F48" s="24"/>
      <c r="G48" s="24"/>
      <c r="H48" s="24"/>
    </row>
    <row r="49" spans="1:25" ht="22.05" customHeight="1" thickBot="1" x14ac:dyDescent="0.35">
      <c r="A49" s="18" t="s">
        <v>73</v>
      </c>
      <c r="B49" s="16" t="s">
        <v>145</v>
      </c>
      <c r="C49" s="24"/>
      <c r="D49" s="24"/>
      <c r="E49" s="24"/>
      <c r="F49" s="24"/>
      <c r="G49" s="24" t="s">
        <v>38</v>
      </c>
      <c r="H49" s="24">
        <f t="shared" si="0"/>
        <v>5</v>
      </c>
    </row>
    <row r="50" spans="1:25" ht="22.05" customHeight="1" thickBot="1" x14ac:dyDescent="0.35">
      <c r="A50" s="21"/>
      <c r="B50" s="22"/>
      <c r="C50" s="25"/>
      <c r="D50" s="25"/>
      <c r="E50" s="25"/>
      <c r="F50" s="25"/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2.05" customHeight="1" thickBot="1" x14ac:dyDescent="0.35">
      <c r="B51" s="18" t="s">
        <v>30</v>
      </c>
      <c r="C51" s="24"/>
      <c r="D51" s="24"/>
      <c r="E51" s="24"/>
      <c r="F51" s="24"/>
      <c r="G51" s="24"/>
      <c r="H51" s="24"/>
    </row>
    <row r="52" spans="1:25" ht="22.05" customHeight="1" thickBot="1" x14ac:dyDescent="0.35">
      <c r="A52" s="18" t="s">
        <v>74</v>
      </c>
      <c r="B52" s="16" t="s">
        <v>146</v>
      </c>
      <c r="C52" s="24"/>
      <c r="D52" s="24"/>
      <c r="E52" s="24"/>
      <c r="F52" s="24"/>
      <c r="G52" s="24" t="s">
        <v>38</v>
      </c>
      <c r="H52" s="24">
        <f t="shared" si="0"/>
        <v>5</v>
      </c>
    </row>
    <row r="53" spans="1:25" ht="22.05" customHeight="1" thickBot="1" x14ac:dyDescent="0.35">
      <c r="A53" s="18" t="s">
        <v>75</v>
      </c>
      <c r="B53" s="16" t="s">
        <v>147</v>
      </c>
      <c r="C53" s="24"/>
      <c r="D53" s="24"/>
      <c r="E53" s="24" t="s">
        <v>38</v>
      </c>
      <c r="F53" s="24"/>
      <c r="G53" s="24"/>
      <c r="H53" s="24">
        <f t="shared" si="0"/>
        <v>3</v>
      </c>
    </row>
    <row r="54" spans="1:25" ht="22.05" customHeight="1" thickBot="1" x14ac:dyDescent="0.35">
      <c r="B54" s="18" t="s">
        <v>41</v>
      </c>
      <c r="C54" s="24"/>
      <c r="D54" s="24"/>
      <c r="E54" s="24"/>
      <c r="F54" s="24"/>
      <c r="G54" s="24"/>
      <c r="H54" s="24"/>
    </row>
    <row r="55" spans="1:25" ht="22.05" customHeight="1" thickBot="1" x14ac:dyDescent="0.35">
      <c r="A55" s="18" t="s">
        <v>76</v>
      </c>
      <c r="B55" s="16" t="s">
        <v>148</v>
      </c>
      <c r="C55" s="24"/>
      <c r="D55" s="24"/>
      <c r="E55" s="24" t="s">
        <v>38</v>
      </c>
      <c r="F55" s="24"/>
      <c r="G55" s="24"/>
      <c r="H55" s="24">
        <f t="shared" si="0"/>
        <v>3</v>
      </c>
    </row>
    <row r="56" spans="1:25" ht="22.05" customHeight="1" thickBot="1" x14ac:dyDescent="0.35">
      <c r="B56" s="18" t="s">
        <v>58</v>
      </c>
      <c r="C56" s="24"/>
      <c r="D56" s="24"/>
      <c r="E56" s="24"/>
      <c r="F56" s="24"/>
      <c r="G56" s="24"/>
      <c r="H56" s="24"/>
    </row>
    <row r="57" spans="1:25" ht="22.05" customHeight="1" thickBot="1" x14ac:dyDescent="0.35">
      <c r="A57" s="18" t="s">
        <v>77</v>
      </c>
      <c r="B57" s="16" t="s">
        <v>181</v>
      </c>
      <c r="C57" s="24"/>
      <c r="D57" s="24"/>
      <c r="E57" s="24"/>
      <c r="F57" s="24" t="s">
        <v>38</v>
      </c>
      <c r="G57" s="24"/>
      <c r="H57" s="24">
        <f t="shared" si="0"/>
        <v>4</v>
      </c>
    </row>
    <row r="58" spans="1:25" ht="22.05" customHeight="1" thickBot="1" x14ac:dyDescent="0.35">
      <c r="A58" s="18" t="s">
        <v>78</v>
      </c>
      <c r="B58" s="16" t="s">
        <v>149</v>
      </c>
      <c r="C58" s="24"/>
      <c r="D58" s="24"/>
      <c r="E58" s="24"/>
      <c r="F58" s="24"/>
      <c r="G58" s="24" t="s">
        <v>38</v>
      </c>
      <c r="H58" s="24">
        <f t="shared" si="0"/>
        <v>5</v>
      </c>
    </row>
    <row r="59" spans="1:25" ht="22.05" customHeight="1" thickBot="1" x14ac:dyDescent="0.35">
      <c r="B59" s="18" t="s">
        <v>47</v>
      </c>
      <c r="C59" s="24"/>
      <c r="D59" s="24"/>
      <c r="E59" s="24"/>
      <c r="F59" s="24"/>
      <c r="G59" s="24"/>
      <c r="H59" s="24"/>
    </row>
    <row r="60" spans="1:25" ht="22.05" customHeight="1" thickBot="1" x14ac:dyDescent="0.35">
      <c r="A60" s="18" t="s">
        <v>79</v>
      </c>
      <c r="B60" s="16" t="s">
        <v>150</v>
      </c>
      <c r="C60" s="24"/>
      <c r="D60" s="24"/>
      <c r="E60" s="24"/>
      <c r="F60" s="24"/>
      <c r="G60" s="24" t="s">
        <v>38</v>
      </c>
      <c r="H60" s="24">
        <f t="shared" si="0"/>
        <v>5</v>
      </c>
    </row>
    <row r="61" spans="1:25" ht="22.05" customHeight="1" thickBot="1" x14ac:dyDescent="0.35">
      <c r="A61" s="21"/>
      <c r="B61" s="22"/>
      <c r="C61" s="25"/>
      <c r="D61" s="25"/>
      <c r="E61" s="25"/>
      <c r="F61" s="25"/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22.05" customHeight="1" thickBot="1" x14ac:dyDescent="0.35">
      <c r="B62" s="18" t="s">
        <v>30</v>
      </c>
      <c r="C62" s="24"/>
      <c r="D62" s="24"/>
      <c r="E62" s="24"/>
      <c r="F62" s="24"/>
      <c r="G62" s="24"/>
      <c r="H62" s="24"/>
    </row>
    <row r="63" spans="1:25" ht="22.05" customHeight="1" thickBot="1" x14ac:dyDescent="0.35">
      <c r="A63" s="18" t="s">
        <v>80</v>
      </c>
      <c r="B63" s="16" t="s">
        <v>152</v>
      </c>
      <c r="C63" s="24"/>
      <c r="D63" s="24"/>
      <c r="E63" s="24"/>
      <c r="F63" s="24"/>
      <c r="G63" s="24" t="s">
        <v>38</v>
      </c>
      <c r="H63" s="24">
        <f t="shared" si="0"/>
        <v>5</v>
      </c>
    </row>
    <row r="64" spans="1:25" ht="22.05" customHeight="1" thickBot="1" x14ac:dyDescent="0.35">
      <c r="B64" s="18" t="s">
        <v>41</v>
      </c>
      <c r="C64" s="24"/>
      <c r="D64" s="24"/>
      <c r="E64" s="24"/>
      <c r="F64" s="24"/>
      <c r="G64" s="24"/>
      <c r="H64" s="24"/>
    </row>
    <row r="65" spans="1:8" ht="22.05" customHeight="1" thickBot="1" x14ac:dyDescent="0.35">
      <c r="A65" s="18" t="s">
        <v>81</v>
      </c>
      <c r="B65" s="16" t="s">
        <v>153</v>
      </c>
      <c r="C65" s="24"/>
      <c r="D65" s="24"/>
      <c r="E65" s="24"/>
      <c r="F65" s="24"/>
      <c r="G65" s="24" t="s">
        <v>38</v>
      </c>
      <c r="H65" s="24">
        <f t="shared" si="0"/>
        <v>5</v>
      </c>
    </row>
    <row r="66" spans="1:8" ht="22.05" customHeight="1" thickBot="1" x14ac:dyDescent="0.35">
      <c r="B66" s="18" t="s">
        <v>58</v>
      </c>
      <c r="C66" s="24"/>
      <c r="D66" s="24"/>
      <c r="E66" s="24"/>
      <c r="F66" s="24"/>
      <c r="G66" s="24"/>
      <c r="H66" s="24"/>
    </row>
    <row r="67" spans="1:8" ht="22.05" customHeight="1" thickBot="1" x14ac:dyDescent="0.35">
      <c r="A67" s="18" t="s">
        <v>82</v>
      </c>
      <c r="B67" s="16" t="s">
        <v>154</v>
      </c>
      <c r="C67" s="24"/>
      <c r="D67" s="24"/>
      <c r="E67" s="24"/>
      <c r="F67" s="24" t="s">
        <v>38</v>
      </c>
      <c r="G67" s="24"/>
      <c r="H67" s="24">
        <f t="shared" si="0"/>
        <v>4</v>
      </c>
    </row>
    <row r="68" spans="1:8" ht="22.05" customHeight="1" thickBot="1" x14ac:dyDescent="0.35">
      <c r="B68" s="18" t="s">
        <v>47</v>
      </c>
      <c r="C68" s="24"/>
      <c r="D68" s="24"/>
      <c r="E68" s="24"/>
      <c r="F68" s="24"/>
      <c r="G68" s="24"/>
      <c r="H68" s="24"/>
    </row>
    <row r="69" spans="1:8" ht="22.05" customHeight="1" thickBot="1" x14ac:dyDescent="0.35">
      <c r="A69" s="18" t="s">
        <v>83</v>
      </c>
      <c r="B69" s="16" t="s">
        <v>155</v>
      </c>
      <c r="C69" s="24"/>
      <c r="D69" s="24"/>
      <c r="E69" s="24" t="s">
        <v>38</v>
      </c>
      <c r="F69" s="24"/>
      <c r="G69" s="24"/>
      <c r="H69" s="24">
        <f t="shared" si="0"/>
        <v>3</v>
      </c>
    </row>
    <row r="70" spans="1:8" ht="22.05" customHeight="1" x14ac:dyDescent="0.3">
      <c r="C70" s="24"/>
      <c r="D70" s="24"/>
      <c r="E70" s="24"/>
      <c r="F70" s="24"/>
      <c r="G70" s="24"/>
      <c r="H70" s="24"/>
    </row>
    <row r="71" spans="1:8" ht="22.05" customHeight="1" x14ac:dyDescent="0.3">
      <c r="C71" s="24"/>
      <c r="D71" s="24"/>
      <c r="E71" s="24"/>
      <c r="F71" s="24"/>
      <c r="G71" s="24"/>
      <c r="H71" s="24"/>
    </row>
    <row r="72" spans="1:8" ht="22.05" customHeight="1" x14ac:dyDescent="0.3">
      <c r="C72" s="24"/>
      <c r="D72" s="24"/>
      <c r="E72" s="24"/>
      <c r="F72" s="24"/>
      <c r="G72" s="24"/>
      <c r="H72" s="24"/>
    </row>
    <row r="73" spans="1:8" ht="15" customHeight="1" x14ac:dyDescent="0.3">
      <c r="C73" s="24"/>
      <c r="D73" s="24"/>
      <c r="E73" s="24"/>
      <c r="F73" s="24"/>
      <c r="G73" s="24"/>
      <c r="H73" s="24"/>
    </row>
    <row r="74" spans="1:8" ht="15" customHeight="1" x14ac:dyDescent="0.3">
      <c r="C74" s="24"/>
      <c r="D74" s="24"/>
      <c r="E74" s="24"/>
      <c r="F74" s="24"/>
      <c r="G74" s="24"/>
      <c r="H74" s="24"/>
    </row>
    <row r="75" spans="1:8" ht="15" customHeight="1" x14ac:dyDescent="0.3">
      <c r="C75" s="24"/>
      <c r="D75" s="24"/>
      <c r="E75" s="24"/>
      <c r="F75" s="24"/>
      <c r="G75" s="24"/>
      <c r="H75" s="24"/>
    </row>
    <row r="76" spans="1:8" ht="15" customHeight="1" x14ac:dyDescent="0.3">
      <c r="C76" s="24"/>
      <c r="D76" s="24"/>
      <c r="E76" s="24"/>
      <c r="F76" s="24"/>
      <c r="G76" s="24"/>
      <c r="H76" s="24"/>
    </row>
    <row r="77" spans="1:8" ht="15" customHeight="1" x14ac:dyDescent="0.3">
      <c r="C77" s="24"/>
      <c r="D77" s="24"/>
      <c r="E77" s="24"/>
      <c r="F77" s="24"/>
      <c r="G77" s="24"/>
      <c r="H77" s="24"/>
    </row>
    <row r="78" spans="1:8" ht="15" customHeight="1" x14ac:dyDescent="0.3">
      <c r="C78" s="24"/>
      <c r="D78" s="24"/>
      <c r="E78" s="24"/>
      <c r="F78" s="24"/>
      <c r="G78" s="24"/>
      <c r="H78" s="24"/>
    </row>
    <row r="79" spans="1:8" ht="15" customHeight="1" x14ac:dyDescent="0.3">
      <c r="C79" s="24"/>
      <c r="D79" s="24"/>
      <c r="E79" s="24"/>
      <c r="F79" s="24"/>
      <c r="G79" s="24"/>
      <c r="H79" s="24"/>
    </row>
    <row r="80" spans="1:8" ht="15" customHeight="1" x14ac:dyDescent="0.3">
      <c r="C80" s="24"/>
      <c r="D80" s="24"/>
      <c r="E80" s="24"/>
      <c r="F80" s="24"/>
      <c r="G80" s="24"/>
      <c r="H80" s="24"/>
    </row>
    <row r="81" spans="3:8" ht="15" customHeight="1" x14ac:dyDescent="0.3">
      <c r="C81" s="24"/>
      <c r="D81" s="24"/>
      <c r="E81" s="24"/>
      <c r="F81" s="24"/>
      <c r="G81" s="24"/>
      <c r="H81" s="24"/>
    </row>
    <row r="82" spans="3:8" ht="15" customHeight="1" x14ac:dyDescent="0.3">
      <c r="C82" s="24"/>
      <c r="D82" s="24"/>
      <c r="E82" s="24"/>
      <c r="F82" s="24"/>
      <c r="G82" s="24"/>
      <c r="H82" s="24"/>
    </row>
    <row r="83" spans="3:8" ht="15" customHeight="1" x14ac:dyDescent="0.3">
      <c r="C83" s="24"/>
      <c r="D83" s="24"/>
      <c r="E83" s="24"/>
      <c r="F83" s="24"/>
      <c r="G83" s="24"/>
      <c r="H83" s="24"/>
    </row>
    <row r="84" spans="3:8" ht="15" customHeight="1" x14ac:dyDescent="0.3">
      <c r="C84" s="24"/>
      <c r="D84" s="24"/>
      <c r="E84" s="24"/>
      <c r="F84" s="24"/>
      <c r="G84" s="24"/>
      <c r="H84" s="24"/>
    </row>
    <row r="85" spans="3:8" ht="15" customHeight="1" x14ac:dyDescent="0.3">
      <c r="C85" s="24"/>
      <c r="D85" s="24"/>
      <c r="E85" s="24"/>
      <c r="F85" s="24"/>
      <c r="G85" s="24"/>
      <c r="H85" s="24"/>
    </row>
    <row r="86" spans="3:8" ht="15" customHeight="1" x14ac:dyDescent="0.3">
      <c r="C86" s="24"/>
      <c r="D86" s="24"/>
      <c r="E86" s="24"/>
      <c r="F86" s="24"/>
      <c r="G86" s="24"/>
      <c r="H86" s="24"/>
    </row>
    <row r="87" spans="3:8" ht="15" customHeight="1" x14ac:dyDescent="0.3">
      <c r="C87" s="24"/>
      <c r="D87" s="24"/>
      <c r="E87" s="24"/>
      <c r="F87" s="24"/>
      <c r="G87" s="24"/>
      <c r="H87" s="24"/>
    </row>
    <row r="88" spans="3:8" ht="15" customHeight="1" x14ac:dyDescent="0.3">
      <c r="C88" s="24"/>
      <c r="D88" s="24"/>
      <c r="E88" s="24"/>
      <c r="F88" s="24"/>
      <c r="G88" s="24"/>
      <c r="H88" s="24"/>
    </row>
    <row r="89" spans="3:8" ht="15" customHeight="1" x14ac:dyDescent="0.3">
      <c r="C89" s="24"/>
      <c r="D89" s="24"/>
      <c r="E89" s="24"/>
      <c r="F89" s="24"/>
      <c r="G89" s="24"/>
      <c r="H89" s="24"/>
    </row>
    <row r="90" spans="3:8" ht="15" customHeight="1" x14ac:dyDescent="0.3">
      <c r="C90" s="24"/>
      <c r="D90" s="24"/>
      <c r="E90" s="24"/>
      <c r="F90" s="24"/>
      <c r="G90" s="24"/>
      <c r="H90" s="24"/>
    </row>
    <row r="91" spans="3:8" ht="15" customHeight="1" x14ac:dyDescent="0.3">
      <c r="C91" s="24"/>
      <c r="D91" s="24"/>
      <c r="E91" s="24"/>
      <c r="F91" s="24"/>
      <c r="G91" s="24"/>
      <c r="H91" s="24"/>
    </row>
    <row r="92" spans="3:8" ht="15" customHeight="1" x14ac:dyDescent="0.3">
      <c r="C92" s="24"/>
      <c r="D92" s="24"/>
      <c r="E92" s="24"/>
      <c r="F92" s="24"/>
      <c r="G92" s="24"/>
      <c r="H92" s="24"/>
    </row>
    <row r="93" spans="3:8" ht="15" customHeight="1" x14ac:dyDescent="0.3">
      <c r="C93" s="24"/>
      <c r="D93" s="24"/>
      <c r="E93" s="24"/>
      <c r="F93" s="24"/>
      <c r="G93" s="24"/>
      <c r="H93" s="24"/>
    </row>
    <row r="94" spans="3:8" ht="15" customHeight="1" x14ac:dyDescent="0.3">
      <c r="C94" s="24"/>
      <c r="D94" s="24"/>
      <c r="E94" s="24"/>
      <c r="F94" s="24"/>
      <c r="G94" s="24"/>
      <c r="H94" s="24"/>
    </row>
    <row r="95" spans="3:8" ht="15" customHeight="1" x14ac:dyDescent="0.3">
      <c r="C95" s="24"/>
      <c r="D95" s="24"/>
      <c r="E95" s="24"/>
      <c r="F95" s="24"/>
      <c r="G95" s="24"/>
      <c r="H95" s="24"/>
    </row>
    <row r="96" spans="3:8" ht="15" customHeight="1" x14ac:dyDescent="0.3">
      <c r="C96" s="24"/>
      <c r="D96" s="24"/>
      <c r="E96" s="24"/>
      <c r="F96" s="24"/>
      <c r="G96" s="24"/>
      <c r="H96" s="24"/>
    </row>
    <row r="97" spans="3:8" ht="15" customHeight="1" x14ac:dyDescent="0.3">
      <c r="C97" s="24"/>
      <c r="D97" s="24"/>
      <c r="E97" s="24"/>
      <c r="F97" s="24"/>
      <c r="G97" s="24"/>
      <c r="H97" s="24"/>
    </row>
    <row r="98" spans="3:8" ht="15" customHeight="1" x14ac:dyDescent="0.3">
      <c r="C98" s="24"/>
      <c r="D98" s="24"/>
      <c r="E98" s="24"/>
      <c r="F98" s="24"/>
      <c r="G98" s="24"/>
      <c r="H98" s="24"/>
    </row>
    <row r="99" spans="3:8" ht="15" customHeight="1" x14ac:dyDescent="0.3">
      <c r="C99" s="24"/>
      <c r="D99" s="24"/>
      <c r="E99" s="24"/>
      <c r="F99" s="24"/>
      <c r="G99" s="24"/>
      <c r="H99" s="24"/>
    </row>
    <row r="100" spans="3:8" ht="15" customHeight="1" x14ac:dyDescent="0.3">
      <c r="C100" s="24"/>
      <c r="D100" s="24"/>
      <c r="E100" s="24"/>
      <c r="F100" s="24"/>
      <c r="G100" s="24"/>
      <c r="H100" s="24"/>
    </row>
    <row r="101" spans="3:8" ht="15" customHeight="1" x14ac:dyDescent="0.3">
      <c r="C101" s="24"/>
      <c r="D101" s="24"/>
      <c r="E101" s="24"/>
      <c r="F101" s="24"/>
      <c r="G101" s="24"/>
      <c r="H101" s="24"/>
    </row>
    <row r="102" spans="3:8" ht="15" customHeight="1" x14ac:dyDescent="0.3">
      <c r="C102" s="24"/>
      <c r="D102" s="24"/>
      <c r="E102" s="24"/>
      <c r="F102" s="24"/>
      <c r="G102" s="24"/>
      <c r="H102" s="24"/>
    </row>
    <row r="103" spans="3:8" ht="15" customHeight="1" x14ac:dyDescent="0.3">
      <c r="C103" s="24"/>
      <c r="D103" s="24"/>
      <c r="E103" s="24"/>
      <c r="F103" s="24"/>
      <c r="G103" s="24"/>
      <c r="H103" s="24"/>
    </row>
    <row r="104" spans="3:8" ht="15" customHeight="1" x14ac:dyDescent="0.3">
      <c r="C104" s="24"/>
      <c r="D104" s="24"/>
      <c r="E104" s="24"/>
      <c r="F104" s="24"/>
      <c r="G104" s="24"/>
      <c r="H104" s="24"/>
    </row>
    <row r="105" spans="3:8" ht="15" customHeight="1" x14ac:dyDescent="0.3">
      <c r="C105" s="24"/>
      <c r="D105" s="24"/>
      <c r="E105" s="24"/>
      <c r="F105" s="24"/>
      <c r="G105" s="24"/>
      <c r="H105" s="24"/>
    </row>
    <row r="106" spans="3:8" ht="15" customHeight="1" x14ac:dyDescent="0.3">
      <c r="C106" s="24"/>
      <c r="D106" s="24"/>
      <c r="E106" s="24"/>
      <c r="F106" s="24"/>
      <c r="G106" s="24"/>
      <c r="H106" s="24"/>
    </row>
    <row r="107" spans="3:8" ht="15" customHeight="1" x14ac:dyDescent="0.3">
      <c r="C107" s="24"/>
      <c r="D107" s="24"/>
      <c r="E107" s="24"/>
      <c r="F107" s="24"/>
      <c r="G107" s="24"/>
      <c r="H107" s="24"/>
    </row>
    <row r="108" spans="3:8" ht="15" customHeight="1" x14ac:dyDescent="0.3">
      <c r="C108" s="24"/>
      <c r="D108" s="24"/>
      <c r="E108" s="24"/>
      <c r="F108" s="24"/>
      <c r="G108" s="24"/>
      <c r="H108" s="24"/>
    </row>
    <row r="109" spans="3:8" ht="15" customHeight="1" x14ac:dyDescent="0.3">
      <c r="C109" s="24"/>
      <c r="D109" s="24"/>
      <c r="E109" s="24"/>
      <c r="F109" s="24"/>
      <c r="G109" s="24"/>
      <c r="H109" s="24"/>
    </row>
    <row r="110" spans="3:8" ht="15" customHeight="1" x14ac:dyDescent="0.3">
      <c r="C110" s="24"/>
      <c r="D110" s="24"/>
      <c r="E110" s="24"/>
      <c r="F110" s="24"/>
      <c r="G110" s="24"/>
      <c r="H110" s="24"/>
    </row>
    <row r="111" spans="3:8" ht="15" customHeight="1" x14ac:dyDescent="0.3">
      <c r="C111" s="24"/>
      <c r="D111" s="24"/>
      <c r="E111" s="24"/>
      <c r="F111" s="24"/>
      <c r="G111" s="24"/>
      <c r="H111" s="24"/>
    </row>
    <row r="112" spans="3:8" ht="15" customHeight="1" x14ac:dyDescent="0.3">
      <c r="C112" s="24"/>
      <c r="D112" s="24"/>
      <c r="E112" s="24"/>
      <c r="F112" s="24"/>
      <c r="G112" s="24"/>
      <c r="H112" s="24"/>
    </row>
    <row r="113" spans="3:8" ht="15" customHeight="1" x14ac:dyDescent="0.3">
      <c r="C113" s="24"/>
      <c r="D113" s="24"/>
      <c r="E113" s="24"/>
      <c r="F113" s="24"/>
      <c r="G113" s="24"/>
      <c r="H113" s="24"/>
    </row>
    <row r="114" spans="3:8" ht="15" customHeight="1" x14ac:dyDescent="0.3">
      <c r="C114" s="24"/>
      <c r="D114" s="24"/>
      <c r="E114" s="24"/>
      <c r="F114" s="24"/>
      <c r="G114" s="24"/>
      <c r="H114" s="24"/>
    </row>
    <row r="115" spans="3:8" ht="15" customHeight="1" x14ac:dyDescent="0.3">
      <c r="C115" s="24"/>
      <c r="D115" s="24"/>
      <c r="E115" s="24"/>
      <c r="F115" s="24"/>
      <c r="G115" s="24"/>
      <c r="H115" s="24"/>
    </row>
    <row r="116" spans="3:8" ht="15" customHeight="1" x14ac:dyDescent="0.3">
      <c r="C116" s="24"/>
      <c r="D116" s="24"/>
      <c r="E116" s="24"/>
      <c r="F116" s="24"/>
      <c r="G116" s="24"/>
      <c r="H116" s="24"/>
    </row>
    <row r="117" spans="3:8" ht="15" customHeight="1" x14ac:dyDescent="0.3">
      <c r="C117" s="24"/>
      <c r="D117" s="24"/>
      <c r="E117" s="24"/>
      <c r="F117" s="24"/>
      <c r="G117" s="24"/>
      <c r="H117" s="24"/>
    </row>
    <row r="118" spans="3:8" ht="15" customHeight="1" x14ac:dyDescent="0.3">
      <c r="C118" s="24"/>
      <c r="D118" s="24"/>
      <c r="E118" s="24"/>
      <c r="F118" s="24"/>
      <c r="G118" s="24"/>
      <c r="H118" s="24"/>
    </row>
    <row r="119" spans="3:8" ht="15" customHeight="1" x14ac:dyDescent="0.3">
      <c r="C119" s="24"/>
      <c r="D119" s="24"/>
      <c r="E119" s="24"/>
      <c r="F119" s="24"/>
      <c r="G119" s="24"/>
      <c r="H119" s="24"/>
    </row>
    <row r="120" spans="3:8" ht="15" customHeight="1" x14ac:dyDescent="0.3">
      <c r="C120" s="24"/>
      <c r="D120" s="24"/>
      <c r="E120" s="24"/>
      <c r="F120" s="24"/>
      <c r="G120" s="24"/>
      <c r="H120" s="24"/>
    </row>
    <row r="121" spans="3:8" ht="15" customHeight="1" x14ac:dyDescent="0.3">
      <c r="C121" s="24"/>
      <c r="D121" s="24"/>
      <c r="E121" s="24"/>
      <c r="F121" s="24"/>
      <c r="G121" s="24"/>
      <c r="H121" s="24"/>
    </row>
    <row r="122" spans="3:8" ht="15" customHeight="1" x14ac:dyDescent="0.3">
      <c r="C122" s="24"/>
      <c r="D122" s="24"/>
      <c r="E122" s="24"/>
      <c r="F122" s="24"/>
      <c r="G122" s="24"/>
      <c r="H122" s="24"/>
    </row>
    <row r="123" spans="3:8" ht="15" customHeight="1" x14ac:dyDescent="0.3">
      <c r="C123" s="24"/>
      <c r="D123" s="24"/>
      <c r="E123" s="24"/>
      <c r="F123" s="24"/>
      <c r="G123" s="24"/>
      <c r="H123" s="24"/>
    </row>
    <row r="124" spans="3:8" ht="15" customHeight="1" x14ac:dyDescent="0.3">
      <c r="C124" s="24"/>
      <c r="D124" s="24"/>
      <c r="E124" s="24"/>
      <c r="F124" s="24"/>
      <c r="G124" s="24"/>
      <c r="H124" s="24"/>
    </row>
    <row r="125" spans="3:8" ht="15" customHeight="1" x14ac:dyDescent="0.3">
      <c r="C125" s="24"/>
      <c r="D125" s="24"/>
      <c r="E125" s="24"/>
      <c r="F125" s="24"/>
      <c r="G125" s="24"/>
      <c r="H125" s="24"/>
    </row>
    <row r="126" spans="3:8" ht="15" customHeight="1" x14ac:dyDescent="0.3">
      <c r="C126" s="24"/>
      <c r="D126" s="24"/>
      <c r="E126" s="24"/>
      <c r="F126" s="24"/>
      <c r="G126" s="24"/>
      <c r="H126" s="24"/>
    </row>
    <row r="127" spans="3:8" ht="15" customHeight="1" x14ac:dyDescent="0.3">
      <c r="C127" s="24"/>
      <c r="D127" s="24"/>
      <c r="E127" s="24"/>
      <c r="F127" s="24"/>
      <c r="G127" s="24"/>
      <c r="H127" s="24"/>
    </row>
    <row r="128" spans="3:8" ht="15" customHeight="1" x14ac:dyDescent="0.3">
      <c r="C128" s="24"/>
      <c r="D128" s="24"/>
      <c r="E128" s="24"/>
      <c r="F128" s="24"/>
      <c r="G128" s="24"/>
      <c r="H128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0990-AF29-495E-9775-5B15D0A73790}">
  <dimension ref="A1:Y128"/>
  <sheetViews>
    <sheetView topLeftCell="A5" zoomScale="67" workbookViewId="0">
      <selection activeCell="A17" sqref="A17"/>
    </sheetView>
  </sheetViews>
  <sheetFormatPr defaultRowHeight="14.4" x14ac:dyDescent="0.3"/>
  <cols>
    <col min="1" max="1" width="17" customWidth="1"/>
    <col min="2" max="2" width="123.5546875" customWidth="1"/>
    <col min="3" max="3" width="13.109375" customWidth="1"/>
    <col min="4" max="4" width="15.5546875" customWidth="1"/>
    <col min="5" max="5" width="11" customWidth="1"/>
    <col min="6" max="6" width="18.33203125" customWidth="1"/>
    <col min="7" max="7" width="14.5546875" customWidth="1"/>
    <col min="8" max="8" width="13" customWidth="1"/>
  </cols>
  <sheetData>
    <row r="1" spans="1:25" s="20" customFormat="1" ht="22.05" customHeight="1" thickBot="1" x14ac:dyDescent="0.3">
      <c r="B1" s="18" t="s">
        <v>30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37</v>
      </c>
      <c r="B2" s="16" t="s">
        <v>121</v>
      </c>
      <c r="C2" s="24"/>
      <c r="D2" s="24"/>
      <c r="E2" s="24"/>
      <c r="F2" s="24"/>
      <c r="G2" s="24" t="s">
        <v>38</v>
      </c>
      <c r="H2" s="24">
        <f>IF(C2="X",1)+IF(D2="X",2)+IF(E2="X",3)+IF(F2="X",4)+IF(G2="X",5)</f>
        <v>5</v>
      </c>
    </row>
    <row r="3" spans="1:25" ht="22.05" customHeight="1" thickBot="1" x14ac:dyDescent="0.35">
      <c r="A3" s="18" t="s">
        <v>39</v>
      </c>
      <c r="B3" s="16" t="s">
        <v>40</v>
      </c>
      <c r="C3" s="24"/>
      <c r="D3" s="24"/>
      <c r="E3" s="24" t="s">
        <v>38</v>
      </c>
      <c r="F3" s="24"/>
      <c r="G3" s="24"/>
      <c r="H3" s="24">
        <f>IF(C3="X",1)+IF(D3="X",2)+IF(E3="X",3)+IF(F3="X",4)+IF(G3="X",5)</f>
        <v>3</v>
      </c>
    </row>
    <row r="4" spans="1:25" ht="22.05" customHeight="1" thickBot="1" x14ac:dyDescent="0.35">
      <c r="B4" s="18" t="s">
        <v>41</v>
      </c>
      <c r="C4" s="24"/>
      <c r="D4" s="24"/>
      <c r="E4" s="24"/>
      <c r="F4" s="24"/>
      <c r="G4" s="24"/>
      <c r="H4" s="24"/>
    </row>
    <row r="5" spans="1:25" ht="22.05" customHeight="1" thickBot="1" x14ac:dyDescent="0.35">
      <c r="A5" s="18" t="s">
        <v>42</v>
      </c>
      <c r="B5" s="16" t="s">
        <v>123</v>
      </c>
      <c r="C5" s="24"/>
      <c r="D5" s="24"/>
      <c r="E5" s="24"/>
      <c r="F5" s="24" t="s">
        <v>38</v>
      </c>
      <c r="G5" s="24"/>
      <c r="H5" s="24">
        <f>IF(C5="X",1)+IF(D5="X",2)+IF(E5="X",3)+IF(F5="X",4)+IF(G5="X",5)</f>
        <v>4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  <c r="H7" s="24"/>
    </row>
    <row r="8" spans="1:25" ht="22.05" customHeight="1" thickBot="1" x14ac:dyDescent="0.35">
      <c r="A8" s="18" t="s">
        <v>43</v>
      </c>
      <c r="B8" s="16" t="s">
        <v>126</v>
      </c>
      <c r="C8" s="24"/>
      <c r="D8" s="24"/>
      <c r="E8" s="24"/>
      <c r="F8" s="24"/>
      <c r="G8" s="24" t="s">
        <v>38</v>
      </c>
      <c r="H8" s="24">
        <f t="shared" ref="H8:H69" si="0">IF(C8="X",1)+IF(D8="X",2)+IF(E8="X",3)+IF(F8="X",4)+IF(G8="X",5)</f>
        <v>5</v>
      </c>
    </row>
    <row r="9" spans="1:25" ht="22.05" customHeight="1" thickBot="1" x14ac:dyDescent="0.35">
      <c r="A9" s="18" t="s">
        <v>45</v>
      </c>
      <c r="B9" s="16" t="s">
        <v>44</v>
      </c>
      <c r="C9" s="24"/>
      <c r="D9" s="24"/>
      <c r="E9" s="24"/>
      <c r="F9" s="24"/>
      <c r="G9" s="24" t="s">
        <v>38</v>
      </c>
      <c r="H9" s="24">
        <f t="shared" si="0"/>
        <v>5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  <c r="H10" s="24"/>
    </row>
    <row r="11" spans="1:25" ht="22.05" customHeight="1" thickBot="1" x14ac:dyDescent="0.35">
      <c r="A11" s="18" t="s">
        <v>46</v>
      </c>
      <c r="B11" s="16" t="s">
        <v>124</v>
      </c>
      <c r="C11" s="24"/>
      <c r="D11" s="24"/>
      <c r="E11" s="24"/>
      <c r="F11" s="24"/>
      <c r="G11" s="24" t="s">
        <v>38</v>
      </c>
      <c r="H11" s="24">
        <f t="shared" si="0"/>
        <v>5</v>
      </c>
    </row>
    <row r="12" spans="1:25" ht="22.05" customHeight="1" thickBot="1" x14ac:dyDescent="0.35">
      <c r="B12" s="18" t="s">
        <v>47</v>
      </c>
      <c r="C12" s="24"/>
      <c r="D12" s="24"/>
      <c r="E12" s="24"/>
      <c r="F12" s="24"/>
      <c r="G12" s="24"/>
      <c r="H12" s="24"/>
    </row>
    <row r="13" spans="1:25" ht="22.05" customHeight="1" thickBot="1" x14ac:dyDescent="0.35">
      <c r="A13" s="18" t="s">
        <v>48</v>
      </c>
      <c r="B13" s="16" t="s">
        <v>125</v>
      </c>
      <c r="C13" s="24"/>
      <c r="D13" s="24"/>
      <c r="E13" s="24"/>
      <c r="F13" s="24" t="s">
        <v>38</v>
      </c>
      <c r="G13" s="24"/>
      <c r="H13" s="24">
        <f t="shared" si="0"/>
        <v>4</v>
      </c>
    </row>
    <row r="14" spans="1:25" ht="22.05" customHeight="1" thickBot="1" x14ac:dyDescent="0.35">
      <c r="A14" s="18" t="s">
        <v>49</v>
      </c>
      <c r="B14" s="16" t="s">
        <v>127</v>
      </c>
      <c r="C14" s="24"/>
      <c r="D14" s="24"/>
      <c r="E14" s="24"/>
      <c r="F14" s="24" t="s">
        <v>38</v>
      </c>
      <c r="G14" s="24"/>
      <c r="H14" s="24">
        <f t="shared" si="0"/>
        <v>4</v>
      </c>
    </row>
    <row r="15" spans="1:25" ht="22.05" customHeight="1" thickBot="1" x14ac:dyDescent="0.35">
      <c r="A15" s="21"/>
      <c r="B15" s="22"/>
      <c r="C15" s="25"/>
      <c r="D15" s="25"/>
      <c r="E15" s="25"/>
      <c r="F15" s="25"/>
      <c r="G15" s="25"/>
      <c r="H15" s="25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22.05" customHeight="1" thickBot="1" x14ac:dyDescent="0.35">
      <c r="B16" s="18" t="s">
        <v>30</v>
      </c>
      <c r="C16" s="24"/>
      <c r="D16" s="24"/>
      <c r="E16" s="24"/>
      <c r="F16" s="24"/>
      <c r="G16" s="24"/>
      <c r="H16" s="24"/>
    </row>
    <row r="17" spans="1:25" ht="22.05" customHeight="1" thickBot="1" x14ac:dyDescent="0.35">
      <c r="A17" s="18" t="s">
        <v>50</v>
      </c>
      <c r="B17" s="16" t="s">
        <v>128</v>
      </c>
      <c r="C17" s="24"/>
      <c r="D17" s="24"/>
      <c r="E17" s="24"/>
      <c r="F17" s="24"/>
      <c r="G17" s="24" t="s">
        <v>38</v>
      </c>
      <c r="H17" s="24">
        <f t="shared" si="0"/>
        <v>5</v>
      </c>
    </row>
    <row r="18" spans="1:25" ht="22.05" customHeight="1" thickBot="1" x14ac:dyDescent="0.35">
      <c r="A18" s="18" t="s">
        <v>51</v>
      </c>
      <c r="B18" s="16" t="s">
        <v>131</v>
      </c>
      <c r="C18" s="24"/>
      <c r="D18" s="24"/>
      <c r="E18" s="24"/>
      <c r="F18" s="24"/>
      <c r="G18" s="24" t="s">
        <v>38</v>
      </c>
      <c r="H18" s="24">
        <f t="shared" si="0"/>
        <v>5</v>
      </c>
    </row>
    <row r="19" spans="1:25" ht="22.05" customHeight="1" thickBot="1" x14ac:dyDescent="0.35">
      <c r="A19" s="18" t="s">
        <v>129</v>
      </c>
      <c r="B19" s="16" t="s">
        <v>52</v>
      </c>
      <c r="C19" s="24"/>
      <c r="D19" s="24"/>
      <c r="E19" s="24" t="s">
        <v>38</v>
      </c>
      <c r="F19" s="24"/>
      <c r="G19" s="24"/>
      <c r="H19" s="24">
        <f t="shared" si="0"/>
        <v>3</v>
      </c>
    </row>
    <row r="20" spans="1:25" ht="22.05" customHeight="1" thickBot="1" x14ac:dyDescent="0.35">
      <c r="A20" s="18" t="s">
        <v>130</v>
      </c>
      <c r="B20" s="16" t="s">
        <v>122</v>
      </c>
      <c r="C20" s="24"/>
      <c r="D20" s="24"/>
      <c r="E20" s="24"/>
      <c r="F20" s="24"/>
      <c r="G20" s="24"/>
      <c r="H20" s="24">
        <f t="shared" si="0"/>
        <v>0</v>
      </c>
    </row>
    <row r="21" spans="1:25" ht="22.05" customHeight="1" thickBot="1" x14ac:dyDescent="0.35">
      <c r="B21" s="18" t="s">
        <v>41</v>
      </c>
      <c r="C21" s="24"/>
      <c r="D21" s="24"/>
      <c r="E21" s="24"/>
      <c r="F21" s="24"/>
      <c r="G21" s="24"/>
      <c r="H21" s="24"/>
    </row>
    <row r="22" spans="1:25" ht="22.05" customHeight="1" thickBot="1" x14ac:dyDescent="0.35">
      <c r="A22" s="18" t="s">
        <v>53</v>
      </c>
      <c r="B22" s="16" t="s">
        <v>132</v>
      </c>
      <c r="C22" s="24"/>
      <c r="D22" s="24"/>
      <c r="E22" s="24"/>
      <c r="F22" s="24"/>
      <c r="G22" s="24" t="s">
        <v>38</v>
      </c>
      <c r="H22" s="24">
        <f t="shared" si="0"/>
        <v>5</v>
      </c>
    </row>
    <row r="23" spans="1:25" ht="22.05" customHeight="1" thickBot="1" x14ac:dyDescent="0.35">
      <c r="B23" s="18" t="s">
        <v>47</v>
      </c>
      <c r="C23" s="24"/>
      <c r="D23" s="24"/>
      <c r="E23" s="24"/>
      <c r="F23" s="24"/>
      <c r="G23" s="24"/>
      <c r="H23" s="24"/>
    </row>
    <row r="24" spans="1:25" ht="22.05" customHeight="1" thickBot="1" x14ac:dyDescent="0.35">
      <c r="A24" s="18" t="s">
        <v>54</v>
      </c>
      <c r="B24" s="16" t="s">
        <v>55</v>
      </c>
      <c r="C24" s="24"/>
      <c r="D24" s="24" t="s">
        <v>38</v>
      </c>
      <c r="E24" s="24"/>
      <c r="F24" s="24"/>
      <c r="G24" s="24"/>
      <c r="H24" s="24">
        <f t="shared" si="0"/>
        <v>2</v>
      </c>
    </row>
    <row r="25" spans="1:25" ht="22.05" customHeight="1" thickBot="1" x14ac:dyDescent="0.35">
      <c r="A25" s="21"/>
      <c r="B25" s="22"/>
      <c r="C25" s="25"/>
      <c r="D25" s="25"/>
      <c r="E25" s="25"/>
      <c r="F25" s="25"/>
      <c r="G25" s="25"/>
      <c r="H25" s="2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22.05" customHeight="1" thickBot="1" x14ac:dyDescent="0.35">
      <c r="B26" s="18" t="s">
        <v>41</v>
      </c>
      <c r="C26" s="24"/>
      <c r="D26" s="24"/>
      <c r="E26" s="24"/>
      <c r="F26" s="24"/>
      <c r="G26" s="24"/>
      <c r="H26" s="24"/>
    </row>
    <row r="27" spans="1:25" ht="22.05" customHeight="1" thickBot="1" x14ac:dyDescent="0.35">
      <c r="A27" s="18" t="s">
        <v>56</v>
      </c>
      <c r="B27" s="16" t="s">
        <v>180</v>
      </c>
      <c r="C27" s="24"/>
      <c r="D27" s="24"/>
      <c r="E27" s="24"/>
      <c r="F27" s="24" t="s">
        <v>38</v>
      </c>
      <c r="G27" s="24"/>
      <c r="H27" s="24">
        <f t="shared" si="0"/>
        <v>4</v>
      </c>
    </row>
    <row r="28" spans="1:25" ht="22.05" customHeight="1" thickBot="1" x14ac:dyDescent="0.35">
      <c r="A28" s="18" t="s">
        <v>133</v>
      </c>
      <c r="B28" s="16" t="s">
        <v>136</v>
      </c>
      <c r="C28" s="24"/>
      <c r="D28" s="24"/>
      <c r="E28" s="24"/>
      <c r="F28" s="24"/>
      <c r="G28" s="24" t="s">
        <v>38</v>
      </c>
      <c r="H28" s="24">
        <f t="shared" si="0"/>
        <v>5</v>
      </c>
    </row>
    <row r="29" spans="1:25" ht="22.05" customHeight="1" thickBot="1" x14ac:dyDescent="0.35">
      <c r="B29" s="18" t="s">
        <v>58</v>
      </c>
      <c r="C29" s="24"/>
      <c r="D29" s="24"/>
      <c r="E29" s="24"/>
      <c r="F29" s="24"/>
      <c r="G29" s="24"/>
      <c r="H29" s="24"/>
    </row>
    <row r="30" spans="1:25" ht="22.05" customHeight="1" thickBot="1" x14ac:dyDescent="0.35">
      <c r="A30" s="18" t="s">
        <v>59</v>
      </c>
      <c r="B30" s="16" t="s">
        <v>134</v>
      </c>
      <c r="C30" s="24"/>
      <c r="D30" s="24"/>
      <c r="E30" s="24" t="s">
        <v>38</v>
      </c>
      <c r="F30" s="24"/>
      <c r="G30" s="24"/>
      <c r="H30" s="24">
        <f t="shared" si="0"/>
        <v>3</v>
      </c>
    </row>
    <row r="31" spans="1:25" ht="22.05" customHeight="1" thickBot="1" x14ac:dyDescent="0.35">
      <c r="A31" s="18" t="s">
        <v>60</v>
      </c>
      <c r="B31" s="16" t="s">
        <v>135</v>
      </c>
      <c r="C31" s="24"/>
      <c r="D31" s="24"/>
      <c r="E31" s="24"/>
      <c r="F31" s="24"/>
      <c r="G31" s="24" t="s">
        <v>38</v>
      </c>
      <c r="H31" s="24">
        <f t="shared" si="0"/>
        <v>5</v>
      </c>
    </row>
    <row r="32" spans="1:25" ht="22.05" customHeight="1" thickBot="1" x14ac:dyDescent="0.35">
      <c r="B32" s="18" t="s">
        <v>47</v>
      </c>
      <c r="C32" s="24"/>
      <c r="D32" s="24"/>
      <c r="E32" s="24"/>
      <c r="F32" s="24"/>
      <c r="G32" s="24"/>
      <c r="H32" s="24"/>
    </row>
    <row r="33" spans="1:25" ht="22.05" customHeight="1" thickBot="1" x14ac:dyDescent="0.35">
      <c r="A33" s="18" t="s">
        <v>61</v>
      </c>
      <c r="B33" s="16" t="s">
        <v>62</v>
      </c>
      <c r="C33" s="24"/>
      <c r="D33" s="24"/>
      <c r="E33" s="24"/>
      <c r="F33" s="24"/>
      <c r="G33" s="24" t="s">
        <v>38</v>
      </c>
      <c r="H33" s="24">
        <f t="shared" si="0"/>
        <v>5</v>
      </c>
    </row>
    <row r="34" spans="1:25" ht="22.05" customHeight="1" thickBot="1" x14ac:dyDescent="0.35">
      <c r="A34" s="18" t="s">
        <v>63</v>
      </c>
      <c r="B34" s="16" t="s">
        <v>137</v>
      </c>
      <c r="C34" s="24"/>
      <c r="D34" s="24"/>
      <c r="E34" s="24"/>
      <c r="F34" s="24"/>
      <c r="G34" s="24" t="s">
        <v>38</v>
      </c>
      <c r="H34" s="24">
        <f t="shared" si="0"/>
        <v>5</v>
      </c>
    </row>
    <row r="35" spans="1:25" ht="22.05" customHeight="1" thickBot="1" x14ac:dyDescent="0.35">
      <c r="A35" s="18" t="s">
        <v>64</v>
      </c>
      <c r="B35" s="16" t="s">
        <v>138</v>
      </c>
      <c r="C35" s="24"/>
      <c r="D35" s="24"/>
      <c r="E35" s="24"/>
      <c r="F35" s="24"/>
      <c r="G35" s="24" t="s">
        <v>38</v>
      </c>
      <c r="H35" s="24">
        <f t="shared" si="0"/>
        <v>5</v>
      </c>
    </row>
    <row r="36" spans="1:25" ht="22.05" customHeight="1" thickBot="1" x14ac:dyDescent="0.35">
      <c r="A36" s="21"/>
      <c r="B36" s="22"/>
      <c r="C36" s="25"/>
      <c r="D36" s="25"/>
      <c r="E36" s="25"/>
      <c r="F36" s="25"/>
      <c r="G36" s="25"/>
      <c r="H36" s="25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22.05" customHeight="1" thickBot="1" x14ac:dyDescent="0.35">
      <c r="B37" s="18" t="s">
        <v>41</v>
      </c>
      <c r="C37" s="24"/>
      <c r="D37" s="24"/>
      <c r="E37" s="24"/>
      <c r="F37" s="24"/>
      <c r="G37" s="24"/>
      <c r="H37" s="24"/>
    </row>
    <row r="38" spans="1:25" ht="22.05" customHeight="1" thickBot="1" x14ac:dyDescent="0.35">
      <c r="A38" s="18" t="s">
        <v>65</v>
      </c>
      <c r="B38" s="16" t="s">
        <v>66</v>
      </c>
      <c r="C38" s="24"/>
      <c r="D38" s="24"/>
      <c r="E38" s="24"/>
      <c r="F38" s="24"/>
      <c r="G38" s="24" t="s">
        <v>38</v>
      </c>
      <c r="H38" s="24">
        <f t="shared" si="0"/>
        <v>5</v>
      </c>
    </row>
    <row r="39" spans="1:25" ht="22.05" customHeight="1" thickBot="1" x14ac:dyDescent="0.35">
      <c r="A39" s="18" t="s">
        <v>67</v>
      </c>
      <c r="B39" s="16" t="s">
        <v>139</v>
      </c>
      <c r="C39" s="24"/>
      <c r="D39" s="24"/>
      <c r="E39" s="24"/>
      <c r="F39" s="24" t="s">
        <v>38</v>
      </c>
      <c r="G39" s="24"/>
      <c r="H39" s="24">
        <f t="shared" si="0"/>
        <v>4</v>
      </c>
    </row>
    <row r="40" spans="1:25" ht="22.05" customHeight="1" thickBot="1" x14ac:dyDescent="0.35">
      <c r="B40" s="18" t="s">
        <v>58</v>
      </c>
      <c r="C40" s="24"/>
      <c r="D40" s="24"/>
      <c r="E40" s="24"/>
      <c r="F40" s="24"/>
      <c r="G40" s="24"/>
      <c r="H40" s="24"/>
    </row>
    <row r="41" spans="1:25" ht="22.05" customHeight="1" thickBot="1" x14ac:dyDescent="0.35">
      <c r="A41" s="18" t="s">
        <v>68</v>
      </c>
      <c r="B41" s="16" t="s">
        <v>140</v>
      </c>
      <c r="C41" s="24"/>
      <c r="D41" s="24"/>
      <c r="E41" s="24"/>
      <c r="F41" s="24" t="s">
        <v>38</v>
      </c>
      <c r="G41" s="24"/>
      <c r="H41" s="24">
        <f t="shared" si="0"/>
        <v>4</v>
      </c>
    </row>
    <row r="42" spans="1:25" ht="22.05" customHeight="1" thickBot="1" x14ac:dyDescent="0.35">
      <c r="A42" s="18" t="s">
        <v>69</v>
      </c>
      <c r="B42" s="16" t="s">
        <v>141</v>
      </c>
      <c r="C42" s="24"/>
      <c r="D42" s="24"/>
      <c r="E42" s="24"/>
      <c r="F42" s="24" t="s">
        <v>38</v>
      </c>
      <c r="G42" s="24"/>
      <c r="H42" s="24">
        <f t="shared" si="0"/>
        <v>4</v>
      </c>
    </row>
    <row r="43" spans="1:25" ht="22.05" customHeight="1" thickBot="1" x14ac:dyDescent="0.35">
      <c r="A43" s="18" t="s">
        <v>142</v>
      </c>
      <c r="B43" s="16" t="s">
        <v>143</v>
      </c>
      <c r="C43" s="24"/>
      <c r="D43" s="24"/>
      <c r="E43" s="24"/>
      <c r="F43" s="24"/>
      <c r="G43" s="24" t="s">
        <v>38</v>
      </c>
      <c r="H43" s="24">
        <f t="shared" si="0"/>
        <v>5</v>
      </c>
    </row>
    <row r="44" spans="1:25" ht="22.05" customHeight="1" thickBot="1" x14ac:dyDescent="0.35">
      <c r="A44" s="21"/>
      <c r="B44" s="22"/>
      <c r="C44" s="25"/>
      <c r="D44" s="25"/>
      <c r="E44" s="25"/>
      <c r="F44" s="25"/>
      <c r="G44" s="25"/>
      <c r="H44" s="25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2.05" customHeight="1" thickBot="1" x14ac:dyDescent="0.35">
      <c r="B45" s="18" t="s">
        <v>30</v>
      </c>
      <c r="C45" s="24"/>
      <c r="D45" s="24"/>
      <c r="E45" s="24"/>
      <c r="F45" s="24"/>
      <c r="G45" s="24"/>
      <c r="H45" s="24"/>
    </row>
    <row r="46" spans="1:25" ht="22.05" customHeight="1" thickBot="1" x14ac:dyDescent="0.35">
      <c r="A46" s="18" t="s">
        <v>70</v>
      </c>
      <c r="B46" s="16" t="s">
        <v>71</v>
      </c>
      <c r="C46" s="24"/>
      <c r="D46" s="24"/>
      <c r="E46" s="24"/>
      <c r="F46" s="24" t="s">
        <v>38</v>
      </c>
      <c r="G46" s="24"/>
      <c r="H46" s="24">
        <f t="shared" si="0"/>
        <v>4</v>
      </c>
    </row>
    <row r="47" spans="1:25" ht="22.05" customHeight="1" thickBot="1" x14ac:dyDescent="0.35">
      <c r="A47" s="18" t="s">
        <v>72</v>
      </c>
      <c r="B47" s="16" t="s">
        <v>144</v>
      </c>
      <c r="C47" s="24"/>
      <c r="D47" s="24"/>
      <c r="E47" s="24"/>
      <c r="F47" s="24"/>
      <c r="G47" s="24" t="s">
        <v>38</v>
      </c>
      <c r="H47" s="24">
        <f t="shared" si="0"/>
        <v>5</v>
      </c>
    </row>
    <row r="48" spans="1:25" ht="22.05" customHeight="1" thickBot="1" x14ac:dyDescent="0.35">
      <c r="B48" s="18" t="s">
        <v>47</v>
      </c>
      <c r="C48" s="24"/>
      <c r="D48" s="24"/>
      <c r="E48" s="24"/>
      <c r="F48" s="24"/>
      <c r="G48" s="24"/>
      <c r="H48" s="24"/>
    </row>
    <row r="49" spans="1:25" ht="22.05" customHeight="1" thickBot="1" x14ac:dyDescent="0.35">
      <c r="A49" s="18" t="s">
        <v>73</v>
      </c>
      <c r="B49" s="16" t="s">
        <v>145</v>
      </c>
      <c r="C49" s="24"/>
      <c r="D49" s="24"/>
      <c r="E49" s="24"/>
      <c r="F49" s="24" t="s">
        <v>38</v>
      </c>
      <c r="G49" s="24"/>
      <c r="H49" s="24">
        <f t="shared" si="0"/>
        <v>4</v>
      </c>
    </row>
    <row r="50" spans="1:25" ht="22.05" customHeight="1" thickBot="1" x14ac:dyDescent="0.35">
      <c r="A50" s="21"/>
      <c r="B50" s="22"/>
      <c r="C50" s="25"/>
      <c r="D50" s="25"/>
      <c r="E50" s="25"/>
      <c r="F50" s="25"/>
      <c r="G50" s="25"/>
      <c r="H50" s="25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2.05" customHeight="1" thickBot="1" x14ac:dyDescent="0.35">
      <c r="B51" s="18" t="s">
        <v>30</v>
      </c>
      <c r="C51" s="24"/>
      <c r="D51" s="24"/>
      <c r="E51" s="24"/>
      <c r="F51" s="24"/>
      <c r="G51" s="24"/>
      <c r="H51" s="24"/>
    </row>
    <row r="52" spans="1:25" ht="22.05" customHeight="1" thickBot="1" x14ac:dyDescent="0.35">
      <c r="A52" s="18" t="s">
        <v>74</v>
      </c>
      <c r="B52" s="16" t="s">
        <v>146</v>
      </c>
      <c r="C52" s="24"/>
      <c r="D52" s="24"/>
      <c r="E52" s="24"/>
      <c r="F52" s="24"/>
      <c r="G52" s="24" t="s">
        <v>38</v>
      </c>
      <c r="H52" s="24">
        <f t="shared" si="0"/>
        <v>5</v>
      </c>
    </row>
    <row r="53" spans="1:25" ht="22.05" customHeight="1" thickBot="1" x14ac:dyDescent="0.35">
      <c r="A53" s="18" t="s">
        <v>75</v>
      </c>
      <c r="B53" s="16" t="s">
        <v>147</v>
      </c>
      <c r="C53" s="24"/>
      <c r="D53" s="24"/>
      <c r="E53" s="24"/>
      <c r="F53" s="24" t="s">
        <v>38</v>
      </c>
      <c r="G53" s="24"/>
      <c r="H53" s="24">
        <f t="shared" si="0"/>
        <v>4</v>
      </c>
    </row>
    <row r="54" spans="1:25" ht="22.05" customHeight="1" thickBot="1" x14ac:dyDescent="0.35">
      <c r="B54" s="18" t="s">
        <v>41</v>
      </c>
      <c r="C54" s="24"/>
      <c r="D54" s="24"/>
      <c r="E54" s="24"/>
      <c r="F54" s="24"/>
      <c r="G54" s="24"/>
      <c r="H54" s="24"/>
    </row>
    <row r="55" spans="1:25" ht="22.05" customHeight="1" thickBot="1" x14ac:dyDescent="0.35">
      <c r="A55" s="18" t="s">
        <v>76</v>
      </c>
      <c r="B55" s="16" t="s">
        <v>148</v>
      </c>
      <c r="C55" s="24"/>
      <c r="D55" s="24" t="s">
        <v>38</v>
      </c>
      <c r="E55" s="24"/>
      <c r="F55" s="24"/>
      <c r="G55" s="24"/>
      <c r="H55" s="24">
        <f t="shared" si="0"/>
        <v>2</v>
      </c>
    </row>
    <row r="56" spans="1:25" ht="22.05" customHeight="1" thickBot="1" x14ac:dyDescent="0.35">
      <c r="B56" s="18" t="s">
        <v>58</v>
      </c>
      <c r="C56" s="24"/>
      <c r="D56" s="24"/>
      <c r="E56" s="24"/>
      <c r="F56" s="24"/>
      <c r="G56" s="24"/>
      <c r="H56" s="24"/>
    </row>
    <row r="57" spans="1:25" ht="22.05" customHeight="1" thickBot="1" x14ac:dyDescent="0.35">
      <c r="A57" s="18" t="s">
        <v>77</v>
      </c>
      <c r="B57" s="16" t="s">
        <v>151</v>
      </c>
      <c r="C57" s="24"/>
      <c r="D57" s="24"/>
      <c r="E57" s="24" t="s">
        <v>38</v>
      </c>
      <c r="F57" s="24"/>
      <c r="G57" s="24"/>
      <c r="H57" s="24">
        <f t="shared" si="0"/>
        <v>3</v>
      </c>
    </row>
    <row r="58" spans="1:25" ht="22.05" customHeight="1" thickBot="1" x14ac:dyDescent="0.35">
      <c r="A58" s="18" t="s">
        <v>78</v>
      </c>
      <c r="B58" s="16" t="s">
        <v>149</v>
      </c>
      <c r="C58" s="24"/>
      <c r="D58" s="24"/>
      <c r="E58" s="24"/>
      <c r="F58" s="24"/>
      <c r="G58" s="24" t="s">
        <v>38</v>
      </c>
      <c r="H58" s="24">
        <f t="shared" si="0"/>
        <v>5</v>
      </c>
    </row>
    <row r="59" spans="1:25" ht="22.05" customHeight="1" thickBot="1" x14ac:dyDescent="0.35">
      <c r="B59" s="18" t="s">
        <v>47</v>
      </c>
      <c r="C59" s="24"/>
      <c r="D59" s="24"/>
      <c r="E59" s="24"/>
      <c r="F59" s="24"/>
      <c r="G59" s="24"/>
      <c r="H59" s="24"/>
    </row>
    <row r="60" spans="1:25" ht="22.05" customHeight="1" thickBot="1" x14ac:dyDescent="0.35">
      <c r="A60" s="18" t="s">
        <v>79</v>
      </c>
      <c r="B60" s="16" t="s">
        <v>150</v>
      </c>
      <c r="C60" s="24"/>
      <c r="D60" s="24"/>
      <c r="E60" s="24"/>
      <c r="F60" s="24" t="s">
        <v>38</v>
      </c>
      <c r="G60" s="24"/>
      <c r="H60" s="24">
        <f t="shared" si="0"/>
        <v>4</v>
      </c>
    </row>
    <row r="61" spans="1:25" ht="22.05" customHeight="1" thickBot="1" x14ac:dyDescent="0.35">
      <c r="A61" s="21"/>
      <c r="B61" s="22"/>
      <c r="C61" s="25"/>
      <c r="D61" s="25"/>
      <c r="E61" s="25"/>
      <c r="F61" s="25"/>
      <c r="G61" s="25"/>
      <c r="H61" s="25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22.05" customHeight="1" thickBot="1" x14ac:dyDescent="0.35">
      <c r="B62" s="18" t="s">
        <v>30</v>
      </c>
      <c r="C62" s="24"/>
      <c r="D62" s="24"/>
      <c r="E62" s="24"/>
      <c r="F62" s="24"/>
      <c r="G62" s="24"/>
      <c r="H62" s="24"/>
    </row>
    <row r="63" spans="1:25" ht="22.05" customHeight="1" thickBot="1" x14ac:dyDescent="0.35">
      <c r="A63" s="18" t="s">
        <v>80</v>
      </c>
      <c r="B63" s="16" t="s">
        <v>152</v>
      </c>
      <c r="C63" s="24"/>
      <c r="D63" s="24"/>
      <c r="E63" s="24"/>
      <c r="F63" s="24"/>
      <c r="G63" s="24" t="s">
        <v>38</v>
      </c>
      <c r="H63" s="24">
        <f t="shared" si="0"/>
        <v>5</v>
      </c>
    </row>
    <row r="64" spans="1:25" ht="22.05" customHeight="1" thickBot="1" x14ac:dyDescent="0.35">
      <c r="B64" s="18" t="s">
        <v>41</v>
      </c>
      <c r="C64" s="24"/>
      <c r="D64" s="24"/>
      <c r="E64" s="24"/>
      <c r="F64" s="24"/>
      <c r="G64" s="24"/>
      <c r="H64" s="24"/>
    </row>
    <row r="65" spans="1:8" ht="22.05" customHeight="1" thickBot="1" x14ac:dyDescent="0.35">
      <c r="A65" s="18" t="s">
        <v>81</v>
      </c>
      <c r="B65" s="16" t="s">
        <v>153</v>
      </c>
      <c r="C65" s="24"/>
      <c r="D65" s="24"/>
      <c r="E65" s="24"/>
      <c r="F65" s="24" t="s">
        <v>38</v>
      </c>
      <c r="G65" s="24"/>
      <c r="H65" s="24">
        <f t="shared" si="0"/>
        <v>4</v>
      </c>
    </row>
    <row r="66" spans="1:8" ht="22.05" customHeight="1" thickBot="1" x14ac:dyDescent="0.35">
      <c r="B66" s="18" t="s">
        <v>58</v>
      </c>
      <c r="C66" s="24"/>
      <c r="D66" s="24"/>
      <c r="E66" s="24"/>
      <c r="F66" s="24"/>
      <c r="G66" s="24"/>
      <c r="H66" s="24"/>
    </row>
    <row r="67" spans="1:8" ht="22.05" customHeight="1" thickBot="1" x14ac:dyDescent="0.35">
      <c r="A67" s="18" t="s">
        <v>82</v>
      </c>
      <c r="B67" s="16" t="s">
        <v>154</v>
      </c>
      <c r="C67" s="24"/>
      <c r="D67" s="24"/>
      <c r="E67" s="24"/>
      <c r="F67" s="24" t="s">
        <v>38</v>
      </c>
      <c r="G67" s="24"/>
      <c r="H67" s="24">
        <f t="shared" si="0"/>
        <v>4</v>
      </c>
    </row>
    <row r="68" spans="1:8" ht="22.05" customHeight="1" thickBot="1" x14ac:dyDescent="0.35">
      <c r="B68" s="18" t="s">
        <v>47</v>
      </c>
      <c r="C68" s="24"/>
      <c r="D68" s="24"/>
      <c r="E68" s="24"/>
      <c r="F68" s="24"/>
      <c r="G68" s="24"/>
      <c r="H68" s="24"/>
    </row>
    <row r="69" spans="1:8" ht="22.05" customHeight="1" thickBot="1" x14ac:dyDescent="0.35">
      <c r="A69" s="18" t="s">
        <v>83</v>
      </c>
      <c r="B69" s="16" t="s">
        <v>155</v>
      </c>
      <c r="C69" s="24"/>
      <c r="D69" s="24" t="s">
        <v>38</v>
      </c>
      <c r="E69" s="24"/>
      <c r="F69" s="24"/>
      <c r="G69" s="24"/>
      <c r="H69" s="24">
        <f t="shared" si="0"/>
        <v>2</v>
      </c>
    </row>
    <row r="70" spans="1:8" ht="22.05" customHeight="1" x14ac:dyDescent="0.3">
      <c r="C70" s="24"/>
      <c r="D70" s="24"/>
      <c r="E70" s="24"/>
      <c r="F70" s="24"/>
      <c r="G70" s="24"/>
      <c r="H70" s="24"/>
    </row>
    <row r="71" spans="1:8" ht="22.05" customHeight="1" x14ac:dyDescent="0.3">
      <c r="C71" s="24"/>
      <c r="D71" s="24"/>
      <c r="E71" s="24"/>
      <c r="F71" s="24"/>
      <c r="G71" s="24"/>
      <c r="H71" s="24"/>
    </row>
    <row r="72" spans="1:8" ht="22.05" customHeight="1" x14ac:dyDescent="0.3">
      <c r="C72" s="24"/>
      <c r="D72" s="24"/>
      <c r="E72" s="24"/>
      <c r="F72" s="24"/>
      <c r="G72" s="24"/>
      <c r="H72" s="24"/>
    </row>
    <row r="73" spans="1:8" ht="15" customHeight="1" x14ac:dyDescent="0.3">
      <c r="C73" s="24"/>
      <c r="D73" s="24"/>
      <c r="E73" s="24"/>
      <c r="F73" s="24"/>
      <c r="G73" s="24"/>
      <c r="H73" s="24"/>
    </row>
    <row r="74" spans="1:8" ht="15" customHeight="1" x14ac:dyDescent="0.3">
      <c r="C74" s="24"/>
      <c r="D74" s="24"/>
      <c r="E74" s="24"/>
      <c r="F74" s="24"/>
      <c r="G74" s="24"/>
      <c r="H74" s="24"/>
    </row>
    <row r="75" spans="1:8" ht="15" customHeight="1" x14ac:dyDescent="0.3">
      <c r="C75" s="24"/>
      <c r="D75" s="24"/>
      <c r="E75" s="24"/>
      <c r="F75" s="24"/>
      <c r="G75" s="24"/>
      <c r="H75" s="24"/>
    </row>
    <row r="76" spans="1:8" ht="15" customHeight="1" x14ac:dyDescent="0.3">
      <c r="C76" s="24"/>
      <c r="D76" s="24"/>
      <c r="E76" s="24"/>
      <c r="F76" s="24"/>
      <c r="G76" s="24"/>
      <c r="H76" s="24"/>
    </row>
    <row r="77" spans="1:8" ht="15" customHeight="1" x14ac:dyDescent="0.3">
      <c r="C77" s="24"/>
      <c r="D77" s="24"/>
      <c r="E77" s="24"/>
      <c r="F77" s="24"/>
      <c r="G77" s="24"/>
      <c r="H77" s="24"/>
    </row>
    <row r="78" spans="1:8" ht="15" customHeight="1" x14ac:dyDescent="0.3">
      <c r="C78" s="24"/>
      <c r="D78" s="24"/>
      <c r="E78" s="24"/>
      <c r="F78" s="24"/>
      <c r="G78" s="24"/>
      <c r="H78" s="24"/>
    </row>
    <row r="79" spans="1:8" ht="15" customHeight="1" x14ac:dyDescent="0.3">
      <c r="C79" s="24"/>
      <c r="D79" s="24"/>
      <c r="E79" s="24"/>
      <c r="F79" s="24"/>
      <c r="G79" s="24"/>
      <c r="H79" s="24"/>
    </row>
    <row r="80" spans="1:8" ht="15" customHeight="1" x14ac:dyDescent="0.3">
      <c r="C80" s="24"/>
      <c r="D80" s="24"/>
      <c r="E80" s="24"/>
      <c r="F80" s="24"/>
      <c r="G80" s="24"/>
      <c r="H80" s="24"/>
    </row>
    <row r="81" spans="3:8" ht="15" customHeight="1" x14ac:dyDescent="0.3">
      <c r="C81" s="24"/>
      <c r="D81" s="24"/>
      <c r="E81" s="24"/>
      <c r="F81" s="24"/>
      <c r="G81" s="24"/>
      <c r="H81" s="24"/>
    </row>
    <row r="82" spans="3:8" ht="15" customHeight="1" x14ac:dyDescent="0.3">
      <c r="C82" s="24"/>
      <c r="D82" s="24"/>
      <c r="E82" s="24"/>
      <c r="F82" s="24"/>
      <c r="G82" s="24"/>
      <c r="H82" s="24"/>
    </row>
    <row r="83" spans="3:8" ht="15" customHeight="1" x14ac:dyDescent="0.3">
      <c r="C83" s="24"/>
      <c r="D83" s="24"/>
      <c r="E83" s="24"/>
      <c r="F83" s="24"/>
      <c r="G83" s="24"/>
      <c r="H83" s="24"/>
    </row>
    <row r="84" spans="3:8" ht="15" customHeight="1" x14ac:dyDescent="0.3">
      <c r="C84" s="24"/>
      <c r="D84" s="24"/>
      <c r="E84" s="24"/>
      <c r="F84" s="24"/>
      <c r="G84" s="24"/>
      <c r="H84" s="24"/>
    </row>
    <row r="85" spans="3:8" ht="15" customHeight="1" x14ac:dyDescent="0.3">
      <c r="C85" s="24"/>
      <c r="D85" s="24"/>
      <c r="E85" s="24"/>
      <c r="F85" s="24"/>
      <c r="G85" s="24"/>
      <c r="H85" s="24"/>
    </row>
    <row r="86" spans="3:8" ht="15" customHeight="1" x14ac:dyDescent="0.3">
      <c r="C86" s="24"/>
      <c r="D86" s="24"/>
      <c r="E86" s="24"/>
      <c r="F86" s="24"/>
      <c r="G86" s="24"/>
      <c r="H86" s="24"/>
    </row>
    <row r="87" spans="3:8" ht="15" customHeight="1" x14ac:dyDescent="0.3">
      <c r="C87" s="24"/>
      <c r="D87" s="24"/>
      <c r="E87" s="24"/>
      <c r="F87" s="24"/>
      <c r="G87" s="24"/>
      <c r="H87" s="24"/>
    </row>
    <row r="88" spans="3:8" ht="15" customHeight="1" x14ac:dyDescent="0.3">
      <c r="C88" s="24"/>
      <c r="D88" s="24"/>
      <c r="E88" s="24"/>
      <c r="F88" s="24"/>
      <c r="G88" s="24"/>
      <c r="H88" s="24"/>
    </row>
    <row r="89" spans="3:8" ht="15" customHeight="1" x14ac:dyDescent="0.3">
      <c r="C89" s="24"/>
      <c r="D89" s="24"/>
      <c r="E89" s="24"/>
      <c r="F89" s="24"/>
      <c r="G89" s="24"/>
      <c r="H89" s="24"/>
    </row>
    <row r="90" spans="3:8" ht="15" customHeight="1" x14ac:dyDescent="0.3">
      <c r="C90" s="24"/>
      <c r="D90" s="24"/>
      <c r="E90" s="24"/>
      <c r="F90" s="24"/>
      <c r="G90" s="24"/>
      <c r="H90" s="24"/>
    </row>
    <row r="91" spans="3:8" ht="15" customHeight="1" x14ac:dyDescent="0.3">
      <c r="C91" s="24"/>
      <c r="D91" s="24"/>
      <c r="E91" s="24"/>
      <c r="F91" s="24"/>
      <c r="G91" s="24"/>
      <c r="H91" s="24"/>
    </row>
    <row r="92" spans="3:8" ht="15" customHeight="1" x14ac:dyDescent="0.3">
      <c r="C92" s="24"/>
      <c r="D92" s="24"/>
      <c r="E92" s="24"/>
      <c r="F92" s="24"/>
      <c r="G92" s="24"/>
      <c r="H92" s="24"/>
    </row>
    <row r="93" spans="3:8" ht="15" customHeight="1" x14ac:dyDescent="0.3">
      <c r="C93" s="24"/>
      <c r="D93" s="24"/>
      <c r="E93" s="24"/>
      <c r="F93" s="24"/>
      <c r="G93" s="24"/>
      <c r="H93" s="24"/>
    </row>
    <row r="94" spans="3:8" ht="15" customHeight="1" x14ac:dyDescent="0.3">
      <c r="C94" s="24"/>
      <c r="D94" s="24"/>
      <c r="E94" s="24"/>
      <c r="F94" s="24"/>
      <c r="G94" s="24"/>
      <c r="H94" s="24"/>
    </row>
    <row r="95" spans="3:8" ht="15" customHeight="1" x14ac:dyDescent="0.3">
      <c r="C95" s="24"/>
      <c r="D95" s="24"/>
      <c r="E95" s="24"/>
      <c r="F95" s="24"/>
      <c r="G95" s="24"/>
      <c r="H95" s="24"/>
    </row>
    <row r="96" spans="3:8" ht="15" customHeight="1" x14ac:dyDescent="0.3">
      <c r="C96" s="24"/>
      <c r="D96" s="24"/>
      <c r="E96" s="24"/>
      <c r="F96" s="24"/>
      <c r="G96" s="24"/>
      <c r="H96" s="24"/>
    </row>
    <row r="97" spans="3:8" ht="15" customHeight="1" x14ac:dyDescent="0.3">
      <c r="C97" s="24"/>
      <c r="D97" s="24"/>
      <c r="E97" s="24"/>
      <c r="F97" s="24"/>
      <c r="G97" s="24"/>
      <c r="H97" s="24"/>
    </row>
    <row r="98" spans="3:8" ht="15" customHeight="1" x14ac:dyDescent="0.3">
      <c r="C98" s="24"/>
      <c r="D98" s="24"/>
      <c r="E98" s="24"/>
      <c r="F98" s="24"/>
      <c r="G98" s="24"/>
      <c r="H98" s="24"/>
    </row>
    <row r="99" spans="3:8" ht="15" customHeight="1" x14ac:dyDescent="0.3">
      <c r="C99" s="24"/>
      <c r="D99" s="24"/>
      <c r="E99" s="24"/>
      <c r="F99" s="24"/>
      <c r="G99" s="24"/>
      <c r="H99" s="24"/>
    </row>
    <row r="100" spans="3:8" ht="15" customHeight="1" x14ac:dyDescent="0.3">
      <c r="C100" s="24"/>
      <c r="D100" s="24"/>
      <c r="E100" s="24"/>
      <c r="F100" s="24"/>
      <c r="G100" s="24"/>
      <c r="H100" s="24"/>
    </row>
    <row r="101" spans="3:8" ht="15" customHeight="1" x14ac:dyDescent="0.3">
      <c r="C101" s="24"/>
      <c r="D101" s="24"/>
      <c r="E101" s="24"/>
      <c r="F101" s="24"/>
      <c r="G101" s="24"/>
      <c r="H101" s="24"/>
    </row>
    <row r="102" spans="3:8" ht="15" customHeight="1" x14ac:dyDescent="0.3">
      <c r="C102" s="24"/>
      <c r="D102" s="24"/>
      <c r="E102" s="24"/>
      <c r="F102" s="24"/>
      <c r="G102" s="24"/>
      <c r="H102" s="24"/>
    </row>
    <row r="103" spans="3:8" ht="15" customHeight="1" x14ac:dyDescent="0.3">
      <c r="C103" s="24"/>
      <c r="D103" s="24"/>
      <c r="E103" s="24"/>
      <c r="F103" s="24"/>
      <c r="G103" s="24"/>
      <c r="H103" s="24"/>
    </row>
    <row r="104" spans="3:8" ht="15" customHeight="1" x14ac:dyDescent="0.3">
      <c r="C104" s="24"/>
      <c r="D104" s="24"/>
      <c r="E104" s="24"/>
      <c r="F104" s="24"/>
      <c r="G104" s="24"/>
      <c r="H104" s="24"/>
    </row>
    <row r="105" spans="3:8" ht="15" customHeight="1" x14ac:dyDescent="0.3">
      <c r="C105" s="24"/>
      <c r="D105" s="24"/>
      <c r="E105" s="24"/>
      <c r="F105" s="24"/>
      <c r="G105" s="24"/>
      <c r="H105" s="24"/>
    </row>
    <row r="106" spans="3:8" ht="15" customHeight="1" x14ac:dyDescent="0.3">
      <c r="C106" s="24"/>
      <c r="D106" s="24"/>
      <c r="E106" s="24"/>
      <c r="F106" s="24"/>
      <c r="G106" s="24"/>
      <c r="H106" s="24"/>
    </row>
    <row r="107" spans="3:8" ht="15" customHeight="1" x14ac:dyDescent="0.3">
      <c r="C107" s="24"/>
      <c r="D107" s="24"/>
      <c r="E107" s="24"/>
      <c r="F107" s="24"/>
      <c r="G107" s="24"/>
      <c r="H107" s="24"/>
    </row>
    <row r="108" spans="3:8" ht="15" customHeight="1" x14ac:dyDescent="0.3">
      <c r="C108" s="24"/>
      <c r="D108" s="24"/>
      <c r="E108" s="24"/>
      <c r="F108" s="24"/>
      <c r="G108" s="24"/>
      <c r="H108" s="24"/>
    </row>
    <row r="109" spans="3:8" ht="15" customHeight="1" x14ac:dyDescent="0.3">
      <c r="C109" s="24"/>
      <c r="D109" s="24"/>
      <c r="E109" s="24"/>
      <c r="F109" s="24"/>
      <c r="G109" s="24"/>
      <c r="H109" s="24"/>
    </row>
    <row r="110" spans="3:8" ht="15" customHeight="1" x14ac:dyDescent="0.3">
      <c r="C110" s="24"/>
      <c r="D110" s="24"/>
      <c r="E110" s="24"/>
      <c r="F110" s="24"/>
      <c r="G110" s="24"/>
      <c r="H110" s="24"/>
    </row>
    <row r="111" spans="3:8" ht="15" customHeight="1" x14ac:dyDescent="0.3">
      <c r="C111" s="24"/>
      <c r="D111" s="24"/>
      <c r="E111" s="24"/>
      <c r="F111" s="24"/>
      <c r="G111" s="24"/>
      <c r="H111" s="24"/>
    </row>
    <row r="112" spans="3:8" ht="15" customHeight="1" x14ac:dyDescent="0.3">
      <c r="C112" s="24"/>
      <c r="D112" s="24"/>
      <c r="E112" s="24"/>
      <c r="F112" s="24"/>
      <c r="G112" s="24"/>
      <c r="H112" s="24"/>
    </row>
    <row r="113" spans="3:8" ht="15" customHeight="1" x14ac:dyDescent="0.3">
      <c r="C113" s="24"/>
      <c r="D113" s="24"/>
      <c r="E113" s="24"/>
      <c r="F113" s="24"/>
      <c r="G113" s="24"/>
      <c r="H113" s="24"/>
    </row>
    <row r="114" spans="3:8" ht="15" customHeight="1" x14ac:dyDescent="0.3">
      <c r="C114" s="24"/>
      <c r="D114" s="24"/>
      <c r="E114" s="24"/>
      <c r="F114" s="24"/>
      <c r="G114" s="24"/>
      <c r="H114" s="24"/>
    </row>
    <row r="115" spans="3:8" ht="15" customHeight="1" x14ac:dyDescent="0.3">
      <c r="C115" s="24"/>
      <c r="D115" s="24"/>
      <c r="E115" s="24"/>
      <c r="F115" s="24"/>
      <c r="G115" s="24"/>
      <c r="H115" s="24"/>
    </row>
    <row r="116" spans="3:8" ht="15" customHeight="1" x14ac:dyDescent="0.3">
      <c r="C116" s="24"/>
      <c r="D116" s="24"/>
      <c r="E116" s="24"/>
      <c r="F116" s="24"/>
      <c r="G116" s="24"/>
      <c r="H116" s="24"/>
    </row>
    <row r="117" spans="3:8" ht="15" customHeight="1" x14ac:dyDescent="0.3">
      <c r="C117" s="24"/>
      <c r="D117" s="24"/>
      <c r="E117" s="24"/>
      <c r="F117" s="24"/>
      <c r="G117" s="24"/>
      <c r="H117" s="24"/>
    </row>
    <row r="118" spans="3:8" ht="15" customHeight="1" x14ac:dyDescent="0.3">
      <c r="C118" s="24"/>
      <c r="D118" s="24"/>
      <c r="E118" s="24"/>
      <c r="F118" s="24"/>
      <c r="G118" s="24"/>
      <c r="H118" s="24"/>
    </row>
    <row r="119" spans="3:8" ht="15" customHeight="1" x14ac:dyDescent="0.3">
      <c r="C119" s="24"/>
      <c r="D119" s="24"/>
      <c r="E119" s="24"/>
      <c r="F119" s="24"/>
      <c r="G119" s="24"/>
      <c r="H119" s="24"/>
    </row>
    <row r="120" spans="3:8" ht="15" customHeight="1" x14ac:dyDescent="0.3">
      <c r="C120" s="24"/>
      <c r="D120" s="24"/>
      <c r="E120" s="24"/>
      <c r="F120" s="24"/>
      <c r="G120" s="24"/>
      <c r="H120" s="24"/>
    </row>
    <row r="121" spans="3:8" ht="15" customHeight="1" x14ac:dyDescent="0.3">
      <c r="C121" s="24"/>
      <c r="D121" s="24"/>
      <c r="E121" s="24"/>
      <c r="F121" s="24"/>
      <c r="G121" s="24"/>
      <c r="H121" s="24"/>
    </row>
    <row r="122" spans="3:8" ht="15" customHeight="1" x14ac:dyDescent="0.3">
      <c r="C122" s="24"/>
      <c r="D122" s="24"/>
      <c r="E122" s="24"/>
      <c r="F122" s="24"/>
      <c r="G122" s="24"/>
      <c r="H122" s="24"/>
    </row>
    <row r="123" spans="3:8" ht="15" customHeight="1" x14ac:dyDescent="0.3">
      <c r="C123" s="24"/>
      <c r="D123" s="24"/>
      <c r="E123" s="24"/>
      <c r="F123" s="24"/>
      <c r="G123" s="24"/>
      <c r="H123" s="24"/>
    </row>
    <row r="124" spans="3:8" ht="15" customHeight="1" x14ac:dyDescent="0.3">
      <c r="C124" s="24"/>
      <c r="D124" s="24"/>
      <c r="E124" s="24"/>
      <c r="F124" s="24"/>
      <c r="G124" s="24"/>
      <c r="H124" s="24"/>
    </row>
    <row r="125" spans="3:8" ht="15" customHeight="1" x14ac:dyDescent="0.3">
      <c r="C125" s="24"/>
      <c r="D125" s="24"/>
      <c r="E125" s="24"/>
      <c r="F125" s="24"/>
      <c r="G125" s="24"/>
      <c r="H125" s="24"/>
    </row>
    <row r="126" spans="3:8" ht="15" customHeight="1" x14ac:dyDescent="0.3">
      <c r="C126" s="24"/>
      <c r="D126" s="24"/>
      <c r="E126" s="24"/>
      <c r="F126" s="24"/>
      <c r="G126" s="24"/>
      <c r="H126" s="24"/>
    </row>
    <row r="127" spans="3:8" ht="15" customHeight="1" x14ac:dyDescent="0.3">
      <c r="C127" s="24"/>
      <c r="D127" s="24"/>
      <c r="E127" s="24"/>
      <c r="F127" s="24"/>
      <c r="G127" s="24"/>
      <c r="H127" s="24"/>
    </row>
    <row r="128" spans="3:8" ht="15" customHeight="1" x14ac:dyDescent="0.3">
      <c r="C128" s="24"/>
      <c r="D128" s="24"/>
      <c r="E128" s="24"/>
      <c r="F128" s="24"/>
      <c r="G128" s="24"/>
      <c r="H128" s="2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BD40-2BDE-4F58-82DB-CBA97281D69C}">
  <dimension ref="A1:Y41"/>
  <sheetViews>
    <sheetView topLeftCell="A4" zoomScale="58" workbookViewId="0">
      <selection activeCell="H18" sqref="H18"/>
    </sheetView>
  </sheetViews>
  <sheetFormatPr defaultRowHeight="14.4" x14ac:dyDescent="0.3"/>
  <cols>
    <col min="1" max="1" width="16.109375" customWidth="1"/>
    <col min="2" max="2" width="137.77734375" bestFit="1" customWidth="1"/>
    <col min="3" max="3" width="10.44140625" customWidth="1"/>
    <col min="4" max="4" width="17.33203125" customWidth="1"/>
    <col min="5" max="5" width="12.33203125" customWidth="1"/>
    <col min="6" max="6" width="17.109375" customWidth="1"/>
    <col min="7" max="7" width="15" customWidth="1"/>
    <col min="8" max="8" width="13.109375" customWidth="1"/>
  </cols>
  <sheetData>
    <row r="1" spans="1:25" s="20" customFormat="1" ht="22.05" customHeight="1" thickBot="1" x14ac:dyDescent="0.3">
      <c r="B1" s="18" t="s">
        <v>41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65</v>
      </c>
      <c r="B2" s="26" t="s">
        <v>156</v>
      </c>
      <c r="C2" s="24"/>
      <c r="D2" s="24"/>
      <c r="E2" s="24"/>
      <c r="F2" s="24"/>
      <c r="G2" s="24" t="s">
        <v>38</v>
      </c>
      <c r="H2" s="24">
        <f>IF(C2="X",1)+IF(D2="X",2)+IF(E2="X",3)+IF(F2="X",4)+IF(G2="X",5)</f>
        <v>5</v>
      </c>
    </row>
    <row r="3" spans="1:25" ht="22.05" customHeight="1" thickBot="1" x14ac:dyDescent="0.35">
      <c r="A3" s="18" t="s">
        <v>67</v>
      </c>
      <c r="B3" s="16" t="s">
        <v>179</v>
      </c>
      <c r="C3" s="24"/>
      <c r="D3" s="24"/>
      <c r="E3" s="24"/>
      <c r="F3" s="24" t="s">
        <v>38</v>
      </c>
      <c r="G3" s="24"/>
      <c r="H3" s="24">
        <f>IF(C3="X",1)+IF(D3="X",2)+IF(E3="X",3)+IF(F3="X",4)+IF(G3="X",5)</f>
        <v>4</v>
      </c>
    </row>
    <row r="4" spans="1:25" ht="22.05" customHeight="1" thickBot="1" x14ac:dyDescent="0.35">
      <c r="B4" s="18" t="s">
        <v>58</v>
      </c>
      <c r="C4" s="24"/>
      <c r="D4" s="24"/>
      <c r="E4" s="24"/>
      <c r="F4" s="24"/>
      <c r="G4" s="24"/>
    </row>
    <row r="5" spans="1:25" ht="22.05" customHeight="1" thickBot="1" x14ac:dyDescent="0.35">
      <c r="A5" s="18" t="s">
        <v>68</v>
      </c>
      <c r="B5" s="26" t="s">
        <v>158</v>
      </c>
      <c r="C5" s="24"/>
      <c r="D5" s="24"/>
      <c r="E5" s="24" t="s">
        <v>38</v>
      </c>
      <c r="F5" s="24"/>
      <c r="G5" s="24"/>
      <c r="H5" s="24">
        <f>IF(C5="X",1)+IF(D5="X",2)+IF(E5="X",3)+IF(F5="X",4)+IF(G5="X",5)</f>
        <v>3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</row>
    <row r="8" spans="1:25" ht="22.05" customHeight="1" thickBot="1" x14ac:dyDescent="0.35">
      <c r="A8" s="18" t="s">
        <v>74</v>
      </c>
      <c r="B8" s="26" t="s">
        <v>171</v>
      </c>
      <c r="C8" s="24"/>
      <c r="D8" s="24"/>
      <c r="E8" s="24"/>
      <c r="F8" s="24" t="s">
        <v>38</v>
      </c>
      <c r="G8" s="24"/>
      <c r="H8" s="24">
        <f t="shared" ref="H8:H9" si="0">IF(C8="X",1)+IF(D8="X",2)+IF(E8="X",3)+IF(F8="X",4)+IF(G8="X",5)</f>
        <v>4</v>
      </c>
    </row>
    <row r="9" spans="1:25" ht="22.05" customHeight="1" thickBot="1" x14ac:dyDescent="0.35">
      <c r="A9" s="18" t="s">
        <v>75</v>
      </c>
      <c r="B9" s="26" t="s">
        <v>159</v>
      </c>
      <c r="C9" s="24"/>
      <c r="D9" s="24"/>
      <c r="E9" s="24"/>
      <c r="F9" s="24"/>
      <c r="G9" s="24" t="s">
        <v>38</v>
      </c>
      <c r="H9" s="24">
        <f t="shared" si="0"/>
        <v>5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</row>
    <row r="11" spans="1:25" ht="22.05" customHeight="1" thickBot="1" x14ac:dyDescent="0.35">
      <c r="A11" s="18" t="s">
        <v>76</v>
      </c>
      <c r="B11" s="26" t="s">
        <v>160</v>
      </c>
      <c r="C11" s="24"/>
      <c r="D11" s="24"/>
      <c r="E11" s="24" t="s">
        <v>38</v>
      </c>
      <c r="F11" s="24"/>
      <c r="G11" s="24"/>
      <c r="H11" s="24">
        <f>IF(C11="X",1)+IF(D11="X",2)+IF(E11="X",3)+IF(F11="X",4)+IF(G11="X",5)</f>
        <v>3</v>
      </c>
    </row>
    <row r="12" spans="1:25" ht="22.05" customHeight="1" thickBot="1" x14ac:dyDescent="0.35">
      <c r="B12" s="18" t="s">
        <v>58</v>
      </c>
      <c r="C12" s="24"/>
      <c r="D12" s="24"/>
      <c r="E12" s="24"/>
      <c r="F12" s="24"/>
      <c r="G12" s="24"/>
    </row>
    <row r="13" spans="1:25" ht="22.05" customHeight="1" thickBot="1" x14ac:dyDescent="0.35">
      <c r="A13" s="18" t="s">
        <v>77</v>
      </c>
      <c r="B13" s="26" t="s">
        <v>161</v>
      </c>
      <c r="C13" s="24"/>
      <c r="D13" s="24"/>
      <c r="E13" s="24"/>
      <c r="F13" s="24" t="s">
        <v>38</v>
      </c>
      <c r="G13" s="24"/>
      <c r="H13" s="24">
        <f>IF(C13="X",1)+IF(D13="X",2)+IF(E13="X",3)+IF(F13="X",4)+IF(G13="X",5)</f>
        <v>4</v>
      </c>
    </row>
    <row r="14" spans="1:25" ht="22.05" customHeight="1" thickBot="1" x14ac:dyDescent="0.35">
      <c r="B14" s="18" t="s">
        <v>47</v>
      </c>
      <c r="C14" s="24"/>
      <c r="D14" s="24"/>
      <c r="E14" s="24"/>
      <c r="F14" s="24"/>
      <c r="G14" s="24"/>
    </row>
    <row r="15" spans="1:25" ht="22.05" customHeight="1" thickBot="1" x14ac:dyDescent="0.35">
      <c r="A15" s="18" t="s">
        <v>79</v>
      </c>
      <c r="B15" s="26" t="s">
        <v>172</v>
      </c>
      <c r="C15" s="24"/>
      <c r="D15" s="24"/>
      <c r="E15" s="24"/>
      <c r="F15" s="24" t="s">
        <v>38</v>
      </c>
      <c r="G15" s="24"/>
      <c r="H15" s="24">
        <f>IF(C15="X",1)+IF(D15="X",2)+IF(E15="X",3)+IF(F15="X",4)+IF(G15="X",5)</f>
        <v>4</v>
      </c>
    </row>
    <row r="16" spans="1:25" ht="22.05" customHeight="1" thickBot="1" x14ac:dyDescent="0.35">
      <c r="A16" s="21"/>
      <c r="B16" s="22"/>
      <c r="C16" s="25"/>
      <c r="D16" s="25"/>
      <c r="E16" s="25"/>
      <c r="F16" s="25"/>
      <c r="G16" s="25"/>
      <c r="H16" s="25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2.05" customHeight="1" thickBot="1" x14ac:dyDescent="0.35">
      <c r="B17" s="18" t="s">
        <v>30</v>
      </c>
      <c r="C17" s="24"/>
      <c r="D17" s="24"/>
      <c r="E17" s="24"/>
      <c r="F17" s="24"/>
      <c r="G17" s="24"/>
    </row>
    <row r="18" spans="1:25" ht="22.05" customHeight="1" thickBot="1" x14ac:dyDescent="0.35">
      <c r="A18" s="18" t="s">
        <v>84</v>
      </c>
      <c r="B18" s="26" t="s">
        <v>162</v>
      </c>
      <c r="C18" s="24"/>
      <c r="D18" s="24"/>
      <c r="E18" s="24"/>
      <c r="F18" s="24" t="s">
        <v>38</v>
      </c>
      <c r="G18" s="24"/>
      <c r="H18" s="24">
        <f t="shared" ref="H18:H19" si="1">IF(C18="X",1)+IF(D18="X",2)+IF(E18="X",3)+IF(F18="X",4)+IF(G18="X",5)</f>
        <v>4</v>
      </c>
    </row>
    <row r="19" spans="1:25" ht="22.05" customHeight="1" thickBot="1" x14ac:dyDescent="0.35">
      <c r="A19" s="18" t="s">
        <v>85</v>
      </c>
      <c r="B19" s="26" t="s">
        <v>163</v>
      </c>
      <c r="C19" s="24"/>
      <c r="D19" s="24"/>
      <c r="E19" s="24"/>
      <c r="F19" s="24"/>
      <c r="G19" s="24" t="s">
        <v>38</v>
      </c>
      <c r="H19" s="24">
        <f t="shared" si="1"/>
        <v>5</v>
      </c>
    </row>
    <row r="20" spans="1:25" ht="22.05" customHeight="1" thickBot="1" x14ac:dyDescent="0.35">
      <c r="B20" s="18" t="s">
        <v>41</v>
      </c>
      <c r="C20" s="24"/>
      <c r="D20" s="24"/>
      <c r="E20" s="24"/>
      <c r="F20" s="24"/>
      <c r="G20" s="24"/>
    </row>
    <row r="21" spans="1:25" ht="22.05" customHeight="1" thickBot="1" x14ac:dyDescent="0.35">
      <c r="A21" s="18" t="s">
        <v>86</v>
      </c>
      <c r="B21" s="26" t="s">
        <v>164</v>
      </c>
      <c r="C21" s="24"/>
      <c r="D21" s="24"/>
      <c r="E21" s="24"/>
      <c r="F21" s="24"/>
      <c r="G21" s="24" t="s">
        <v>38</v>
      </c>
      <c r="H21" s="24">
        <f>IF(C21="X",1)+IF(D21="X",2)+IF(E21="X",3)+IF(F21="X",4)+IF(G21="X",5)</f>
        <v>5</v>
      </c>
    </row>
    <row r="22" spans="1:25" ht="22.05" customHeight="1" thickBot="1" x14ac:dyDescent="0.35">
      <c r="A22" s="18" t="s">
        <v>165</v>
      </c>
      <c r="B22" s="26" t="s">
        <v>166</v>
      </c>
      <c r="C22" s="24"/>
      <c r="D22" s="24"/>
      <c r="E22" s="24"/>
      <c r="F22" s="24"/>
      <c r="G22" s="24" t="s">
        <v>38</v>
      </c>
      <c r="H22" s="24">
        <f>IF(C22="X",1)+IF(D22="X",2)+IF(E22="X",3)+IF(F22="X",4)+IF(G22="X",5)</f>
        <v>5</v>
      </c>
    </row>
    <row r="23" spans="1:25" ht="22.05" customHeight="1" thickBot="1" x14ac:dyDescent="0.35">
      <c r="B23" s="18" t="s">
        <v>58</v>
      </c>
      <c r="C23" s="24"/>
      <c r="D23" s="24"/>
      <c r="E23" s="24"/>
      <c r="F23" s="24"/>
      <c r="G23" s="24"/>
    </row>
    <row r="24" spans="1:25" ht="22.05" customHeight="1" thickBot="1" x14ac:dyDescent="0.35">
      <c r="A24" s="18" t="s">
        <v>87</v>
      </c>
      <c r="B24" s="26" t="s">
        <v>167</v>
      </c>
      <c r="C24" s="24"/>
      <c r="D24" s="24"/>
      <c r="E24" s="24"/>
      <c r="F24" s="24" t="s">
        <v>38</v>
      </c>
      <c r="G24" s="24"/>
      <c r="H24" s="24">
        <f>IF(C24="X",1)+IF(D24="X",2)+IF(E24="X",3)+IF(F24="X",4)+IF(G24="X",5)</f>
        <v>4</v>
      </c>
    </row>
    <row r="25" spans="1:25" ht="22.05" customHeight="1" thickBot="1" x14ac:dyDescent="0.35">
      <c r="A25" s="18" t="s">
        <v>89</v>
      </c>
      <c r="B25" s="26" t="s">
        <v>169</v>
      </c>
      <c r="C25" s="24"/>
      <c r="D25" s="24"/>
      <c r="E25" s="24"/>
      <c r="F25" s="24" t="s">
        <v>38</v>
      </c>
      <c r="G25" s="24"/>
      <c r="H25" s="24">
        <f>IF(C25="X",1)+IF(D25="X",2)+IF(E25="X",3)+IF(F25="X",4)+IF(G25="X",5)</f>
        <v>4</v>
      </c>
    </row>
    <row r="26" spans="1:25" ht="22.05" customHeight="1" thickBot="1" x14ac:dyDescent="0.35">
      <c r="A26" s="18" t="s">
        <v>170</v>
      </c>
      <c r="B26" s="26" t="s">
        <v>168</v>
      </c>
      <c r="C26" s="24"/>
      <c r="D26" s="24"/>
      <c r="E26" s="24" t="s">
        <v>38</v>
      </c>
      <c r="F26" s="24"/>
      <c r="G26" s="24"/>
      <c r="H26" s="24">
        <f>IF(C26="X",1)+IF(D26="X",2)+IF(E26="X",3)+IF(F26="X",4)+IF(G26="X",5)</f>
        <v>3</v>
      </c>
    </row>
    <row r="27" spans="1:25" ht="22.05" customHeight="1" thickBot="1" x14ac:dyDescent="0.35">
      <c r="B27" s="18" t="s">
        <v>47</v>
      </c>
      <c r="C27" s="24"/>
      <c r="D27" s="24"/>
      <c r="E27" s="24"/>
      <c r="F27" s="24"/>
      <c r="G27" s="24"/>
    </row>
    <row r="28" spans="1:25" ht="22.05" customHeight="1" thickBot="1" x14ac:dyDescent="0.35">
      <c r="A28" s="18" t="s">
        <v>91</v>
      </c>
      <c r="B28" s="26" t="s">
        <v>92</v>
      </c>
      <c r="C28" s="24"/>
      <c r="D28" s="24"/>
      <c r="E28" s="24"/>
      <c r="F28" s="24"/>
      <c r="G28" s="24" t="s">
        <v>38</v>
      </c>
      <c r="H28" s="24">
        <f>IF(C28="X",1)+IF(D28="X",2)+IF(E28="X",3)+IF(F28="X",4)+IF(G28="X",5)</f>
        <v>5</v>
      </c>
    </row>
    <row r="29" spans="1:25" ht="22.05" customHeight="1" thickBot="1" x14ac:dyDescent="0.35">
      <c r="A29" s="21"/>
      <c r="B29" s="22"/>
      <c r="C29" s="25"/>
      <c r="D29" s="25"/>
      <c r="E29" s="25"/>
      <c r="F29" s="25"/>
      <c r="G29" s="25"/>
      <c r="H29" s="2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22.05" customHeight="1" thickBot="1" x14ac:dyDescent="0.35">
      <c r="B30" s="18" t="s">
        <v>30</v>
      </c>
      <c r="C30" s="24"/>
      <c r="D30" s="24"/>
      <c r="E30" s="24"/>
      <c r="F30" s="24"/>
      <c r="G30" s="24"/>
    </row>
    <row r="31" spans="1:25" ht="22.05" customHeight="1" thickBot="1" x14ac:dyDescent="0.35">
      <c r="A31" s="18" t="s">
        <v>93</v>
      </c>
      <c r="B31" s="26" t="s">
        <v>173</v>
      </c>
      <c r="C31" s="24"/>
      <c r="D31" s="24"/>
      <c r="E31" s="24"/>
      <c r="F31" s="24"/>
      <c r="G31" s="24" t="s">
        <v>38</v>
      </c>
      <c r="H31" s="24">
        <f>IF(C31="X",1)+IF(D31="X",2)+IF(E31="X",3)+IF(F31="X",4)+IF(G31="X",5)</f>
        <v>5</v>
      </c>
    </row>
    <row r="32" spans="1:25" ht="22.05" customHeight="1" thickBot="1" x14ac:dyDescent="0.35">
      <c r="A32" s="18" t="s">
        <v>94</v>
      </c>
      <c r="B32" s="26" t="s">
        <v>174</v>
      </c>
      <c r="C32" s="24"/>
      <c r="D32" s="24"/>
      <c r="E32" s="24"/>
      <c r="F32" s="24" t="s">
        <v>38</v>
      </c>
      <c r="G32" s="24"/>
      <c r="H32" s="24">
        <f>IF(C32="X",1)+IF(D32="X",2)+IF(E32="X",3)+IF(F32="X",4)+IF(G32="X",5)</f>
        <v>4</v>
      </c>
    </row>
    <row r="33" spans="1:8" ht="22.05" customHeight="1" thickBot="1" x14ac:dyDescent="0.35">
      <c r="A33" s="18" t="s">
        <v>176</v>
      </c>
      <c r="B33" s="26" t="s">
        <v>177</v>
      </c>
      <c r="C33" s="24"/>
      <c r="D33" s="24"/>
      <c r="E33" s="24"/>
      <c r="F33" s="24" t="s">
        <v>38</v>
      </c>
      <c r="G33" s="24"/>
      <c r="H33" s="24">
        <f>IF(C33="X",1)+IF(D33="X",2)+IF(E33="X",3)+IF(F33="X",4)+IF(G33="X",5)</f>
        <v>4</v>
      </c>
    </row>
    <row r="34" spans="1:8" ht="22.05" customHeight="1" thickBot="1" x14ac:dyDescent="0.35">
      <c r="B34" s="18" t="s">
        <v>41</v>
      </c>
      <c r="C34" s="24"/>
      <c r="D34" s="24"/>
      <c r="E34" s="24"/>
      <c r="F34" s="24"/>
      <c r="G34" s="24"/>
    </row>
    <row r="35" spans="1:8" ht="22.05" customHeight="1" thickBot="1" x14ac:dyDescent="0.35">
      <c r="A35" s="18" t="s">
        <v>95</v>
      </c>
      <c r="B35" s="26" t="s">
        <v>175</v>
      </c>
      <c r="C35" s="24"/>
      <c r="D35" s="24"/>
      <c r="E35" s="24"/>
      <c r="F35" s="24"/>
      <c r="G35" s="24" t="s">
        <v>38</v>
      </c>
      <c r="H35" s="24">
        <f>IF(C35="X",1)+IF(D35="X",2)+IF(E35="X",3)+IF(F35="X",4)+IF(G35="X",5)</f>
        <v>5</v>
      </c>
    </row>
    <row r="36" spans="1:8" ht="22.05" customHeight="1" thickBot="1" x14ac:dyDescent="0.35">
      <c r="B36" s="18" t="s">
        <v>58</v>
      </c>
      <c r="C36" s="24"/>
      <c r="D36" s="24"/>
      <c r="E36" s="24"/>
      <c r="F36" s="24"/>
      <c r="G36" s="24"/>
    </row>
    <row r="37" spans="1:8" ht="22.05" customHeight="1" thickBot="1" x14ac:dyDescent="0.35">
      <c r="A37" s="18" t="s">
        <v>96</v>
      </c>
      <c r="B37" s="26" t="s">
        <v>97</v>
      </c>
      <c r="C37" s="24"/>
      <c r="D37" s="24"/>
      <c r="E37" s="24"/>
      <c r="F37" s="24" t="s">
        <v>38</v>
      </c>
      <c r="G37" s="24"/>
      <c r="H37" s="24">
        <f t="shared" ref="H37:H38" si="2">IF(C37="X",1)+IF(D37="X",2)+IF(E37="X",3)+IF(F37="X",4)+IF(G37="X",5)</f>
        <v>4</v>
      </c>
    </row>
    <row r="38" spans="1:8" ht="22.05" customHeight="1" thickBot="1" x14ac:dyDescent="0.35">
      <c r="A38" s="18" t="s">
        <v>98</v>
      </c>
      <c r="B38" s="26" t="s">
        <v>99</v>
      </c>
      <c r="C38" s="24"/>
      <c r="D38" s="24"/>
      <c r="E38" s="24"/>
      <c r="F38" s="24" t="s">
        <v>38</v>
      </c>
      <c r="G38" s="24"/>
      <c r="H38" s="24">
        <f t="shared" si="2"/>
        <v>4</v>
      </c>
    </row>
    <row r="39" spans="1:8" ht="22.05" customHeight="1" thickBot="1" x14ac:dyDescent="0.35">
      <c r="B39" s="18" t="s">
        <v>47</v>
      </c>
      <c r="C39" s="24"/>
      <c r="D39" s="24"/>
      <c r="E39" s="24"/>
      <c r="F39" s="24"/>
      <c r="G39" s="24"/>
    </row>
    <row r="40" spans="1:8" ht="22.05" customHeight="1" thickBot="1" x14ac:dyDescent="0.35">
      <c r="A40" s="18" t="s">
        <v>100</v>
      </c>
      <c r="B40" s="26" t="s">
        <v>178</v>
      </c>
      <c r="C40" s="24"/>
      <c r="D40" s="24"/>
      <c r="E40" s="24"/>
      <c r="F40" s="24"/>
      <c r="G40" s="24" t="s">
        <v>38</v>
      </c>
      <c r="H40" s="24">
        <f t="shared" ref="H40:H41" si="3">IF(C40="X",1)+IF(D40="X",2)+IF(E40="X",3)+IF(F40="X",4)+IF(G40="X",5)</f>
        <v>5</v>
      </c>
    </row>
    <row r="41" spans="1:8" ht="22.05" customHeight="1" thickBot="1" x14ac:dyDescent="0.35">
      <c r="A41" s="18" t="s">
        <v>101</v>
      </c>
      <c r="B41" s="26" t="s">
        <v>102</v>
      </c>
      <c r="C41" s="24"/>
      <c r="D41" s="24"/>
      <c r="E41" s="24"/>
      <c r="F41" s="24"/>
      <c r="G41" s="24" t="s">
        <v>38</v>
      </c>
      <c r="H41" s="24">
        <f t="shared" si="3"/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79D-7264-480D-A614-A2960B850F3A}">
  <dimension ref="A1:Y41"/>
  <sheetViews>
    <sheetView topLeftCell="A10" zoomScale="76" workbookViewId="0">
      <selection activeCell="G40" sqref="G40"/>
    </sheetView>
  </sheetViews>
  <sheetFormatPr defaultRowHeight="14.4" x14ac:dyDescent="0.3"/>
  <cols>
    <col min="1" max="1" width="16.109375" customWidth="1"/>
    <col min="2" max="2" width="137.77734375" bestFit="1" customWidth="1"/>
    <col min="3" max="3" width="10.44140625" customWidth="1"/>
    <col min="4" max="4" width="17.33203125" customWidth="1"/>
    <col min="5" max="5" width="12.33203125" customWidth="1"/>
    <col min="6" max="6" width="17.109375" customWidth="1"/>
    <col min="7" max="7" width="15" customWidth="1"/>
    <col min="8" max="8" width="13.109375" customWidth="1"/>
  </cols>
  <sheetData>
    <row r="1" spans="1:25" s="20" customFormat="1" ht="22.05" customHeight="1" thickBot="1" x14ac:dyDescent="0.3">
      <c r="B1" s="18" t="s">
        <v>41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65</v>
      </c>
      <c r="B2" s="26" t="s">
        <v>156</v>
      </c>
      <c r="C2" s="24"/>
      <c r="D2" s="24"/>
      <c r="E2" s="24"/>
      <c r="F2" s="24" t="s">
        <v>38</v>
      </c>
      <c r="G2" s="24"/>
      <c r="H2" s="24">
        <f>IF(C2="X",1)+IF(D2="X",2)+IF(E2="X",3)+IF(F2="X",4)+IF(G2="X",5)</f>
        <v>4</v>
      </c>
    </row>
    <row r="3" spans="1:25" ht="22.05" customHeight="1" thickBot="1" x14ac:dyDescent="0.35">
      <c r="A3" s="18" t="s">
        <v>67</v>
      </c>
      <c r="B3" s="16" t="s">
        <v>157</v>
      </c>
      <c r="C3" s="24"/>
      <c r="D3" s="24"/>
      <c r="E3" s="24"/>
      <c r="F3" s="24"/>
      <c r="G3" s="24" t="s">
        <v>38</v>
      </c>
      <c r="H3" s="24">
        <f>IF(C3="X",1)+IF(D3="X",2)+IF(E3="X",3)+IF(F3="X",4)+IF(G3="X",5)</f>
        <v>5</v>
      </c>
    </row>
    <row r="4" spans="1:25" ht="22.05" customHeight="1" thickBot="1" x14ac:dyDescent="0.35">
      <c r="B4" s="18" t="s">
        <v>58</v>
      </c>
      <c r="C4" s="24"/>
      <c r="D4" s="24"/>
      <c r="E4" s="24"/>
      <c r="F4" s="24"/>
      <c r="G4" s="24"/>
    </row>
    <row r="5" spans="1:25" ht="22.05" customHeight="1" thickBot="1" x14ac:dyDescent="0.35">
      <c r="A5" s="18" t="s">
        <v>68</v>
      </c>
      <c r="B5" s="26" t="s">
        <v>158</v>
      </c>
      <c r="C5" s="24"/>
      <c r="D5" s="24"/>
      <c r="E5" s="24"/>
      <c r="F5" s="24" t="s">
        <v>38</v>
      </c>
      <c r="G5" s="24"/>
      <c r="H5" s="24">
        <f>IF(C5="X",1)+IF(D5="X",2)+IF(E5="X",3)+IF(F5="X",4)+IF(G5="X",5)</f>
        <v>4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</row>
    <row r="8" spans="1:25" ht="22.05" customHeight="1" thickBot="1" x14ac:dyDescent="0.35">
      <c r="A8" s="18" t="s">
        <v>74</v>
      </c>
      <c r="B8" s="26" t="s">
        <v>171</v>
      </c>
      <c r="C8" s="24"/>
      <c r="D8" s="24"/>
      <c r="E8" s="24"/>
      <c r="F8" s="24" t="s">
        <v>38</v>
      </c>
      <c r="G8" s="24"/>
      <c r="H8" s="24">
        <f t="shared" ref="H8:H9" si="0">IF(C8="X",1)+IF(D8="X",2)+IF(E8="X",3)+IF(F8="X",4)+IF(G8="X",5)</f>
        <v>4</v>
      </c>
    </row>
    <row r="9" spans="1:25" ht="22.05" customHeight="1" thickBot="1" x14ac:dyDescent="0.35">
      <c r="A9" s="18" t="s">
        <v>75</v>
      </c>
      <c r="B9" s="26" t="s">
        <v>159</v>
      </c>
      <c r="C9" s="24"/>
      <c r="D9" s="24"/>
      <c r="E9" s="24"/>
      <c r="F9" s="24" t="s">
        <v>38</v>
      </c>
      <c r="G9" s="24"/>
      <c r="H9" s="24">
        <f t="shared" si="0"/>
        <v>4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</row>
    <row r="11" spans="1:25" ht="22.05" customHeight="1" thickBot="1" x14ac:dyDescent="0.35">
      <c r="A11" s="18" t="s">
        <v>76</v>
      </c>
      <c r="B11" s="26" t="s">
        <v>160</v>
      </c>
      <c r="C11" s="24"/>
      <c r="D11" s="24"/>
      <c r="E11" s="24" t="s">
        <v>38</v>
      </c>
      <c r="F11" s="24"/>
      <c r="G11" s="24"/>
      <c r="H11" s="24">
        <f>IF(C11="X",1)+IF(D11="X",2)+IF(E11="X",3)+IF(F11="X",4)+IF(G11="X",5)</f>
        <v>3</v>
      </c>
    </row>
    <row r="12" spans="1:25" ht="22.05" customHeight="1" thickBot="1" x14ac:dyDescent="0.35">
      <c r="B12" s="18" t="s">
        <v>58</v>
      </c>
      <c r="C12" s="24"/>
      <c r="D12" s="24"/>
      <c r="E12" s="24"/>
      <c r="F12" s="24"/>
      <c r="G12" s="24"/>
    </row>
    <row r="13" spans="1:25" ht="22.05" customHeight="1" thickBot="1" x14ac:dyDescent="0.35">
      <c r="A13" s="18" t="s">
        <v>77</v>
      </c>
      <c r="B13" s="26" t="s">
        <v>161</v>
      </c>
      <c r="C13" s="24"/>
      <c r="D13" s="24"/>
      <c r="E13" s="24"/>
      <c r="F13" s="24" t="s">
        <v>38</v>
      </c>
      <c r="G13" s="24"/>
      <c r="H13" s="24">
        <f>IF(C13="X",1)+IF(D13="X",2)+IF(E13="X",3)+IF(F13="X",4)+IF(G13="X",5)</f>
        <v>4</v>
      </c>
    </row>
    <row r="14" spans="1:25" ht="22.05" customHeight="1" thickBot="1" x14ac:dyDescent="0.35">
      <c r="B14" s="18" t="s">
        <v>47</v>
      </c>
      <c r="C14" s="24"/>
      <c r="D14" s="24"/>
      <c r="E14" s="24"/>
      <c r="F14" s="24"/>
      <c r="G14" s="24"/>
    </row>
    <row r="15" spans="1:25" ht="22.05" customHeight="1" thickBot="1" x14ac:dyDescent="0.35">
      <c r="A15" s="18" t="s">
        <v>79</v>
      </c>
      <c r="B15" s="26" t="s">
        <v>172</v>
      </c>
      <c r="C15" s="24"/>
      <c r="D15" s="24"/>
      <c r="E15" s="24" t="s">
        <v>38</v>
      </c>
      <c r="F15" s="24"/>
      <c r="G15" s="24"/>
      <c r="H15" s="24">
        <f>IF(C15="X",1)+IF(D15="X",2)+IF(E15="X",3)+IF(F15="X",4)+IF(G15="X",5)</f>
        <v>3</v>
      </c>
    </row>
    <row r="16" spans="1:25" ht="22.05" customHeight="1" thickBot="1" x14ac:dyDescent="0.35">
      <c r="A16" s="21"/>
      <c r="B16" s="22"/>
      <c r="C16" s="25"/>
      <c r="D16" s="25"/>
      <c r="E16" s="25"/>
      <c r="F16" s="25"/>
      <c r="G16" s="25"/>
      <c r="H16" s="25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2.05" customHeight="1" thickBot="1" x14ac:dyDescent="0.35">
      <c r="B17" s="18" t="s">
        <v>30</v>
      </c>
      <c r="C17" s="24"/>
      <c r="D17" s="24"/>
      <c r="E17" s="24"/>
      <c r="F17" s="24"/>
      <c r="G17" s="24"/>
    </row>
    <row r="18" spans="1:25" ht="22.05" customHeight="1" thickBot="1" x14ac:dyDescent="0.35">
      <c r="A18" s="18" t="s">
        <v>84</v>
      </c>
      <c r="B18" s="26" t="s">
        <v>162</v>
      </c>
      <c r="C18" s="24"/>
      <c r="D18" s="24"/>
      <c r="E18" s="24"/>
      <c r="F18" s="24" t="s">
        <v>38</v>
      </c>
      <c r="G18" s="24"/>
      <c r="H18" s="24">
        <f t="shared" ref="H18:H19" si="1">IF(C18="X",1)+IF(D18="X",2)+IF(E18="X",3)+IF(F18="X",4)+IF(G18="X",5)</f>
        <v>4</v>
      </c>
    </row>
    <row r="19" spans="1:25" ht="22.05" customHeight="1" thickBot="1" x14ac:dyDescent="0.35">
      <c r="A19" s="18" t="s">
        <v>85</v>
      </c>
      <c r="B19" s="26" t="s">
        <v>163</v>
      </c>
      <c r="C19" s="24"/>
      <c r="D19" s="24"/>
      <c r="E19" s="24"/>
      <c r="F19" s="24"/>
      <c r="G19" s="24" t="s">
        <v>38</v>
      </c>
      <c r="H19" s="24">
        <f t="shared" si="1"/>
        <v>5</v>
      </c>
    </row>
    <row r="20" spans="1:25" ht="22.05" customHeight="1" thickBot="1" x14ac:dyDescent="0.35">
      <c r="B20" s="18" t="s">
        <v>41</v>
      </c>
      <c r="C20" s="24"/>
      <c r="D20" s="24"/>
      <c r="E20" s="24"/>
      <c r="F20" s="24"/>
      <c r="G20" s="24"/>
    </row>
    <row r="21" spans="1:25" ht="22.05" customHeight="1" thickBot="1" x14ac:dyDescent="0.35">
      <c r="A21" s="18" t="s">
        <v>86</v>
      </c>
      <c r="B21" s="26" t="s">
        <v>164</v>
      </c>
      <c r="C21" s="24"/>
      <c r="D21" s="24"/>
      <c r="E21" s="24"/>
      <c r="F21" s="24" t="s">
        <v>38</v>
      </c>
      <c r="G21" s="24"/>
      <c r="H21" s="24">
        <f>IF(C21="X",1)+IF(D21="X",2)+IF(E21="X",3)+IF(F21="X",4)+IF(G21="X",5)</f>
        <v>4</v>
      </c>
    </row>
    <row r="22" spans="1:25" ht="22.05" customHeight="1" thickBot="1" x14ac:dyDescent="0.35">
      <c r="A22" s="18" t="s">
        <v>165</v>
      </c>
      <c r="B22" s="26" t="s">
        <v>166</v>
      </c>
      <c r="C22" s="24"/>
      <c r="D22" s="24"/>
      <c r="E22" s="24"/>
      <c r="F22" s="24"/>
      <c r="G22" s="24" t="s">
        <v>38</v>
      </c>
      <c r="H22" s="24">
        <f>IF(C22="X",1)+IF(D22="X",2)+IF(E22="X",3)+IF(F22="X",4)+IF(G22="X",5)</f>
        <v>5</v>
      </c>
    </row>
    <row r="23" spans="1:25" ht="22.05" customHeight="1" thickBot="1" x14ac:dyDescent="0.35">
      <c r="B23" s="18" t="s">
        <v>58</v>
      </c>
      <c r="C23" s="24"/>
      <c r="D23" s="24"/>
      <c r="E23" s="24"/>
      <c r="F23" s="24"/>
      <c r="G23" s="24"/>
    </row>
    <row r="24" spans="1:25" ht="22.05" customHeight="1" thickBot="1" x14ac:dyDescent="0.35">
      <c r="A24" s="18" t="s">
        <v>87</v>
      </c>
      <c r="B24" s="26" t="s">
        <v>167</v>
      </c>
      <c r="C24" s="24"/>
      <c r="D24" s="24"/>
      <c r="E24" s="24"/>
      <c r="F24" s="24" t="s">
        <v>38</v>
      </c>
      <c r="G24" s="24"/>
      <c r="H24" s="24">
        <f>IF(C24="X",1)+IF(D24="X",2)+IF(E24="X",3)+IF(F24="X",4)+IF(G24="X",5)</f>
        <v>4</v>
      </c>
    </row>
    <row r="25" spans="1:25" ht="22.05" customHeight="1" thickBot="1" x14ac:dyDescent="0.35">
      <c r="A25" s="18" t="s">
        <v>89</v>
      </c>
      <c r="B25" s="26" t="s">
        <v>169</v>
      </c>
      <c r="C25" s="24"/>
      <c r="D25" s="24"/>
      <c r="E25" s="24" t="s">
        <v>38</v>
      </c>
      <c r="F25" s="24"/>
      <c r="G25" s="24"/>
      <c r="H25" s="24">
        <f>IF(C25="X",1)+IF(D25="X",2)+IF(E25="X",3)+IF(F25="X",4)+IF(G25="X",5)</f>
        <v>3</v>
      </c>
    </row>
    <row r="26" spans="1:25" ht="22.05" customHeight="1" thickBot="1" x14ac:dyDescent="0.35">
      <c r="A26" s="18" t="s">
        <v>170</v>
      </c>
      <c r="B26" s="26" t="s">
        <v>168</v>
      </c>
      <c r="C26" s="24"/>
      <c r="D26" s="24"/>
      <c r="E26" s="24"/>
      <c r="F26" s="24" t="s">
        <v>38</v>
      </c>
      <c r="G26" s="24"/>
      <c r="H26" s="24">
        <f>IF(C26="X",1)+IF(D26="X",2)+IF(E26="X",3)+IF(F26="X",4)+IF(G26="X",5)</f>
        <v>4</v>
      </c>
    </row>
    <row r="27" spans="1:25" ht="22.05" customHeight="1" thickBot="1" x14ac:dyDescent="0.35">
      <c r="B27" s="18" t="s">
        <v>47</v>
      </c>
      <c r="C27" s="24"/>
      <c r="D27" s="24"/>
      <c r="E27" s="24"/>
      <c r="F27" s="24"/>
      <c r="G27" s="24"/>
    </row>
    <row r="28" spans="1:25" ht="22.05" customHeight="1" thickBot="1" x14ac:dyDescent="0.35">
      <c r="A28" s="18" t="s">
        <v>91</v>
      </c>
      <c r="B28" s="26" t="s">
        <v>92</v>
      </c>
      <c r="C28" s="24"/>
      <c r="D28" s="24"/>
      <c r="E28" s="24"/>
      <c r="F28" s="24" t="s">
        <v>38</v>
      </c>
      <c r="G28" s="24"/>
      <c r="H28" s="24">
        <f>IF(C28="X",1)+IF(D28="X",2)+IF(E28="X",3)+IF(F28="X",4)+IF(G28="X",5)</f>
        <v>4</v>
      </c>
    </row>
    <row r="29" spans="1:25" ht="22.05" customHeight="1" thickBot="1" x14ac:dyDescent="0.35">
      <c r="A29" s="21"/>
      <c r="B29" s="22"/>
      <c r="C29" s="25"/>
      <c r="D29" s="25"/>
      <c r="E29" s="25"/>
      <c r="F29" s="25"/>
      <c r="G29" s="25"/>
      <c r="H29" s="2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22.05" customHeight="1" thickBot="1" x14ac:dyDescent="0.35">
      <c r="B30" s="18" t="s">
        <v>30</v>
      </c>
      <c r="C30" s="24"/>
      <c r="D30" s="24"/>
      <c r="E30" s="24"/>
      <c r="F30" s="24"/>
      <c r="G30" s="24"/>
    </row>
    <row r="31" spans="1:25" ht="22.05" customHeight="1" thickBot="1" x14ac:dyDescent="0.35">
      <c r="A31" s="18" t="s">
        <v>93</v>
      </c>
      <c r="B31" s="26" t="s">
        <v>173</v>
      </c>
      <c r="C31" s="24"/>
      <c r="D31" s="24"/>
      <c r="E31" s="24"/>
      <c r="F31" s="24" t="s">
        <v>38</v>
      </c>
      <c r="G31" s="24"/>
      <c r="H31" s="24">
        <f>IF(C31="X",1)+IF(D31="X",2)+IF(E31="X",3)+IF(F31="X",4)+IF(G31="X",5)</f>
        <v>4</v>
      </c>
    </row>
    <row r="32" spans="1:25" ht="22.05" customHeight="1" thickBot="1" x14ac:dyDescent="0.35">
      <c r="A32" s="18" t="s">
        <v>94</v>
      </c>
      <c r="B32" s="26" t="s">
        <v>174</v>
      </c>
      <c r="C32" s="24"/>
      <c r="D32" s="24"/>
      <c r="E32" s="24"/>
      <c r="F32" s="24"/>
      <c r="G32" s="24" t="s">
        <v>38</v>
      </c>
      <c r="H32" s="24">
        <f>IF(C32="X",1)+IF(D32="X",2)+IF(E32="X",3)+IF(F32="X",4)+IF(G32="X",5)</f>
        <v>5</v>
      </c>
    </row>
    <row r="33" spans="1:8" ht="22.05" customHeight="1" thickBot="1" x14ac:dyDescent="0.35">
      <c r="A33" s="18" t="s">
        <v>176</v>
      </c>
      <c r="B33" s="26" t="s">
        <v>177</v>
      </c>
      <c r="C33" s="24"/>
      <c r="D33" s="24"/>
      <c r="E33" s="24"/>
      <c r="F33" s="24"/>
      <c r="G33" s="24" t="s">
        <v>38</v>
      </c>
      <c r="H33" s="24">
        <f>IF(C33="X",1)+IF(D33="X",2)+IF(E33="X",3)+IF(F33="X",4)+IF(G33="X",5)</f>
        <v>5</v>
      </c>
    </row>
    <row r="34" spans="1:8" ht="22.05" customHeight="1" thickBot="1" x14ac:dyDescent="0.35">
      <c r="B34" s="18" t="s">
        <v>41</v>
      </c>
      <c r="C34" s="24"/>
      <c r="D34" s="24"/>
      <c r="E34" s="24"/>
      <c r="F34" s="24"/>
      <c r="G34" s="24"/>
    </row>
    <row r="35" spans="1:8" ht="22.05" customHeight="1" thickBot="1" x14ac:dyDescent="0.35">
      <c r="A35" s="18" t="s">
        <v>95</v>
      </c>
      <c r="B35" s="26" t="s">
        <v>175</v>
      </c>
      <c r="C35" s="24"/>
      <c r="D35" s="24"/>
      <c r="E35" s="24"/>
      <c r="F35" s="24"/>
      <c r="G35" s="24" t="s">
        <v>38</v>
      </c>
      <c r="H35" s="24">
        <f>IF(C35="X",1)+IF(D35="X",2)+IF(E35="X",3)+IF(F35="X",4)+IF(G35="X",5)</f>
        <v>5</v>
      </c>
    </row>
    <row r="36" spans="1:8" ht="22.05" customHeight="1" thickBot="1" x14ac:dyDescent="0.35">
      <c r="B36" s="18" t="s">
        <v>58</v>
      </c>
      <c r="C36" s="24"/>
      <c r="D36" s="24"/>
      <c r="E36" s="24"/>
      <c r="F36" s="24"/>
      <c r="G36" s="24"/>
    </row>
    <row r="37" spans="1:8" ht="22.05" customHeight="1" thickBot="1" x14ac:dyDescent="0.35">
      <c r="A37" s="18" t="s">
        <v>96</v>
      </c>
      <c r="B37" s="26" t="s">
        <v>97</v>
      </c>
      <c r="C37" s="24"/>
      <c r="D37" s="24"/>
      <c r="E37" s="24"/>
      <c r="F37" s="24" t="s">
        <v>38</v>
      </c>
      <c r="G37" s="24"/>
      <c r="H37" s="24">
        <f t="shared" ref="H37:H38" si="2">IF(C37="X",1)+IF(D37="X",2)+IF(E37="X",3)+IF(F37="X",4)+IF(G37="X",5)</f>
        <v>4</v>
      </c>
    </row>
    <row r="38" spans="1:8" ht="22.05" customHeight="1" thickBot="1" x14ac:dyDescent="0.35">
      <c r="A38" s="18" t="s">
        <v>98</v>
      </c>
      <c r="B38" s="26" t="s">
        <v>99</v>
      </c>
      <c r="C38" s="24"/>
      <c r="D38" s="24"/>
      <c r="E38" s="24"/>
      <c r="F38" s="24" t="s">
        <v>38</v>
      </c>
      <c r="G38" s="24"/>
      <c r="H38" s="24">
        <f t="shared" si="2"/>
        <v>4</v>
      </c>
    </row>
    <row r="39" spans="1:8" ht="22.05" customHeight="1" thickBot="1" x14ac:dyDescent="0.35">
      <c r="B39" s="18" t="s">
        <v>47</v>
      </c>
      <c r="C39" s="24"/>
      <c r="D39" s="24"/>
      <c r="E39" s="24"/>
      <c r="F39" s="24"/>
      <c r="G39" s="24"/>
    </row>
    <row r="40" spans="1:8" ht="22.05" customHeight="1" thickBot="1" x14ac:dyDescent="0.35">
      <c r="A40" s="18" t="s">
        <v>100</v>
      </c>
      <c r="B40" s="26" t="s">
        <v>178</v>
      </c>
      <c r="C40" s="24"/>
      <c r="D40" s="24"/>
      <c r="E40" s="24"/>
      <c r="F40" s="24"/>
      <c r="G40" s="24" t="s">
        <v>38</v>
      </c>
      <c r="H40" s="24">
        <f t="shared" ref="H40:H41" si="3">IF(C40="X",1)+IF(D40="X",2)+IF(E40="X",3)+IF(F40="X",4)+IF(G40="X",5)</f>
        <v>5</v>
      </c>
    </row>
    <row r="41" spans="1:8" ht="22.05" customHeight="1" thickBot="1" x14ac:dyDescent="0.35">
      <c r="A41" s="18" t="s">
        <v>101</v>
      </c>
      <c r="B41" s="26" t="s">
        <v>102</v>
      </c>
      <c r="C41" s="24"/>
      <c r="D41" s="24"/>
      <c r="E41" s="24"/>
      <c r="F41" s="24"/>
      <c r="G41" s="24" t="s">
        <v>38</v>
      </c>
      <c r="H41" s="24">
        <f t="shared" si="3"/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5EE2-FC8D-4C2F-BA07-35E5C88530DC}">
  <dimension ref="A1:Y41"/>
  <sheetViews>
    <sheetView topLeftCell="A19" zoomScale="76" workbookViewId="0">
      <selection activeCell="H22" sqref="H22"/>
    </sheetView>
  </sheetViews>
  <sheetFormatPr defaultRowHeight="14.4" x14ac:dyDescent="0.3"/>
  <cols>
    <col min="1" max="1" width="16.109375" customWidth="1"/>
    <col min="2" max="2" width="137.77734375" bestFit="1" customWidth="1"/>
    <col min="3" max="3" width="10.44140625" customWidth="1"/>
    <col min="4" max="4" width="17.33203125" customWidth="1"/>
    <col min="5" max="5" width="12.33203125" customWidth="1"/>
    <col min="6" max="6" width="17.109375" customWidth="1"/>
    <col min="7" max="7" width="15" customWidth="1"/>
    <col min="8" max="8" width="13.109375" customWidth="1"/>
  </cols>
  <sheetData>
    <row r="1" spans="1:25" s="20" customFormat="1" ht="22.05" customHeight="1" thickBot="1" x14ac:dyDescent="0.3">
      <c r="B1" s="18" t="s">
        <v>41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65</v>
      </c>
      <c r="B2" s="26" t="s">
        <v>156</v>
      </c>
      <c r="C2" s="24"/>
      <c r="D2" s="24"/>
      <c r="E2" s="24"/>
      <c r="F2" s="24" t="s">
        <v>38</v>
      </c>
      <c r="G2" s="24"/>
      <c r="H2" s="24">
        <f>IF(C2="X",1)+IF(D2="X",2)+IF(E2="X",3)+IF(F2="X",4)+IF(G2="X",5)</f>
        <v>4</v>
      </c>
    </row>
    <row r="3" spans="1:25" ht="22.05" customHeight="1" thickBot="1" x14ac:dyDescent="0.35">
      <c r="A3" s="18" t="s">
        <v>67</v>
      </c>
      <c r="B3" s="16" t="s">
        <v>157</v>
      </c>
      <c r="C3" s="24"/>
      <c r="D3" s="24"/>
      <c r="E3" s="24"/>
      <c r="F3" s="24" t="s">
        <v>38</v>
      </c>
      <c r="G3" s="24"/>
      <c r="H3" s="24">
        <f>IF(C3="X",1)+IF(D3="X",2)+IF(E3="X",3)+IF(F3="X",4)+IF(G3="X",5)</f>
        <v>4</v>
      </c>
    </row>
    <row r="4" spans="1:25" ht="22.05" customHeight="1" thickBot="1" x14ac:dyDescent="0.35">
      <c r="B4" s="18" t="s">
        <v>58</v>
      </c>
      <c r="C4" s="24"/>
      <c r="D4" s="24"/>
      <c r="E4" s="24"/>
      <c r="F4" s="24"/>
      <c r="G4" s="24"/>
    </row>
    <row r="5" spans="1:25" ht="22.05" customHeight="1" thickBot="1" x14ac:dyDescent="0.35">
      <c r="A5" s="18" t="s">
        <v>68</v>
      </c>
      <c r="B5" s="26" t="s">
        <v>158</v>
      </c>
      <c r="C5" s="24"/>
      <c r="D5" s="24"/>
      <c r="E5" s="24" t="s">
        <v>38</v>
      </c>
      <c r="F5" s="24"/>
      <c r="G5" s="24"/>
      <c r="H5" s="24">
        <f>IF(C5="X",1)+IF(D5="X",2)+IF(E5="X",3)+IF(F5="X",4)+IF(G5="X",5)</f>
        <v>3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</row>
    <row r="8" spans="1:25" ht="22.05" customHeight="1" thickBot="1" x14ac:dyDescent="0.35">
      <c r="A8" s="18" t="s">
        <v>74</v>
      </c>
      <c r="B8" s="26" t="s">
        <v>171</v>
      </c>
      <c r="C8" s="24"/>
      <c r="D8" s="24"/>
      <c r="E8" s="24"/>
      <c r="F8" s="24" t="s">
        <v>38</v>
      </c>
      <c r="G8" s="24"/>
      <c r="H8" s="24">
        <f t="shared" ref="H8:H9" si="0">IF(C8="X",1)+IF(D8="X",2)+IF(E8="X",3)+IF(F8="X",4)+IF(G8="X",5)</f>
        <v>4</v>
      </c>
    </row>
    <row r="9" spans="1:25" ht="22.05" customHeight="1" thickBot="1" x14ac:dyDescent="0.35">
      <c r="A9" s="18" t="s">
        <v>75</v>
      </c>
      <c r="B9" s="26" t="s">
        <v>159</v>
      </c>
      <c r="C9" s="24"/>
      <c r="D9" s="24"/>
      <c r="E9" s="24"/>
      <c r="F9" s="24" t="s">
        <v>38</v>
      </c>
      <c r="G9" s="24"/>
      <c r="H9" s="24">
        <f t="shared" si="0"/>
        <v>4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</row>
    <row r="11" spans="1:25" ht="22.05" customHeight="1" thickBot="1" x14ac:dyDescent="0.35">
      <c r="A11" s="18" t="s">
        <v>76</v>
      </c>
      <c r="B11" s="26" t="s">
        <v>160</v>
      </c>
      <c r="C11" s="24"/>
      <c r="D11" s="24"/>
      <c r="E11" s="24"/>
      <c r="F11" s="24" t="s">
        <v>38</v>
      </c>
      <c r="G11" s="24"/>
      <c r="H11" s="24">
        <f>IF(C11="X",1)+IF(D11="X",2)+IF(E11="X",3)+IF(F11="X",4)+IF(G11="X",5)</f>
        <v>4</v>
      </c>
    </row>
    <row r="12" spans="1:25" ht="22.05" customHeight="1" thickBot="1" x14ac:dyDescent="0.35">
      <c r="B12" s="18" t="s">
        <v>58</v>
      </c>
      <c r="C12" s="24"/>
      <c r="D12" s="24"/>
      <c r="E12" s="24"/>
      <c r="F12" s="24"/>
      <c r="G12" s="24"/>
    </row>
    <row r="13" spans="1:25" ht="22.05" customHeight="1" thickBot="1" x14ac:dyDescent="0.35">
      <c r="A13" s="18" t="s">
        <v>77</v>
      </c>
      <c r="B13" s="26" t="s">
        <v>161</v>
      </c>
      <c r="C13" s="24"/>
      <c r="D13" s="24"/>
      <c r="E13" s="24" t="s">
        <v>38</v>
      </c>
      <c r="F13" s="24"/>
      <c r="G13" s="24"/>
      <c r="H13" s="24">
        <f>IF(C13="X",1)+IF(D13="X",2)+IF(E13="X",3)+IF(F13="X",4)+IF(G13="X",5)</f>
        <v>3</v>
      </c>
    </row>
    <row r="14" spans="1:25" ht="22.05" customHeight="1" thickBot="1" x14ac:dyDescent="0.35">
      <c r="B14" s="18" t="s">
        <v>47</v>
      </c>
      <c r="C14" s="24"/>
      <c r="D14" s="24"/>
      <c r="E14" s="24"/>
      <c r="F14" s="24"/>
      <c r="G14" s="24"/>
    </row>
    <row r="15" spans="1:25" ht="22.05" customHeight="1" thickBot="1" x14ac:dyDescent="0.35">
      <c r="A15" s="18" t="s">
        <v>79</v>
      </c>
      <c r="B15" s="26" t="s">
        <v>172</v>
      </c>
      <c r="C15" s="24"/>
      <c r="D15" s="24"/>
      <c r="E15" s="24"/>
      <c r="F15" s="24" t="s">
        <v>38</v>
      </c>
      <c r="G15" s="24"/>
      <c r="H15" s="24">
        <f>IF(C15="X",1)+IF(D15="X",2)+IF(E15="X",3)+IF(F15="X",4)+IF(G15="X",5)</f>
        <v>4</v>
      </c>
    </row>
    <row r="16" spans="1:25" ht="22.05" customHeight="1" thickBot="1" x14ac:dyDescent="0.35">
      <c r="A16" s="21"/>
      <c r="B16" s="22"/>
      <c r="C16" s="25"/>
      <c r="D16" s="25"/>
      <c r="E16" s="25"/>
      <c r="F16" s="25"/>
      <c r="G16" s="25"/>
      <c r="H16" s="25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2.05" customHeight="1" thickBot="1" x14ac:dyDescent="0.35">
      <c r="B17" s="18" t="s">
        <v>30</v>
      </c>
      <c r="C17" s="24"/>
      <c r="D17" s="24"/>
      <c r="E17" s="24"/>
      <c r="F17" s="24"/>
      <c r="G17" s="24"/>
    </row>
    <row r="18" spans="1:25" ht="22.05" customHeight="1" thickBot="1" x14ac:dyDescent="0.35">
      <c r="A18" s="18" t="s">
        <v>84</v>
      </c>
      <c r="B18" s="26" t="s">
        <v>162</v>
      </c>
      <c r="C18" s="24"/>
      <c r="D18" s="24"/>
      <c r="E18" s="24"/>
      <c r="F18" s="24" t="s">
        <v>38</v>
      </c>
      <c r="G18" s="24"/>
      <c r="H18" s="24">
        <f t="shared" ref="H18:H19" si="1">IF(C18="X",1)+IF(D18="X",2)+IF(E18="X",3)+IF(F18="X",4)+IF(G18="X",5)</f>
        <v>4</v>
      </c>
    </row>
    <row r="19" spans="1:25" ht="22.05" customHeight="1" thickBot="1" x14ac:dyDescent="0.35">
      <c r="A19" s="18" t="s">
        <v>85</v>
      </c>
      <c r="B19" s="26" t="s">
        <v>163</v>
      </c>
      <c r="C19" s="24"/>
      <c r="D19" s="24"/>
      <c r="E19" s="24"/>
      <c r="F19" s="24" t="s">
        <v>38</v>
      </c>
      <c r="G19" s="24"/>
      <c r="H19" s="24">
        <f t="shared" si="1"/>
        <v>4</v>
      </c>
    </row>
    <row r="20" spans="1:25" ht="22.05" customHeight="1" thickBot="1" x14ac:dyDescent="0.35">
      <c r="B20" s="18" t="s">
        <v>41</v>
      </c>
      <c r="C20" s="24"/>
      <c r="D20" s="24"/>
      <c r="E20" s="24"/>
      <c r="F20" s="24"/>
      <c r="G20" s="24"/>
    </row>
    <row r="21" spans="1:25" ht="22.05" customHeight="1" thickBot="1" x14ac:dyDescent="0.35">
      <c r="A21" s="18" t="s">
        <v>86</v>
      </c>
      <c r="B21" s="26" t="s">
        <v>164</v>
      </c>
      <c r="C21" s="24"/>
      <c r="D21" s="24"/>
      <c r="E21" s="24"/>
      <c r="F21" s="24"/>
      <c r="G21" s="24" t="s">
        <v>38</v>
      </c>
      <c r="H21" s="24">
        <f>IF(C21="X",1)+IF(D21="X",2)+IF(E21="X",3)+IF(F21="X",4)+IF(G21="X",5)</f>
        <v>5</v>
      </c>
    </row>
    <row r="22" spans="1:25" ht="22.05" customHeight="1" thickBot="1" x14ac:dyDescent="0.35">
      <c r="A22" s="18" t="s">
        <v>165</v>
      </c>
      <c r="B22" s="26" t="s">
        <v>166</v>
      </c>
      <c r="C22" s="24"/>
      <c r="D22" s="24"/>
      <c r="E22" s="24"/>
      <c r="F22" s="24"/>
      <c r="G22" s="24" t="s">
        <v>38</v>
      </c>
      <c r="H22" s="24">
        <f>IF(C22="X",1)+IF(D22="X",2)+IF(E22="X",3)+IF(F22="X",4)+IF(G22="X",5)</f>
        <v>5</v>
      </c>
    </row>
    <row r="23" spans="1:25" ht="22.05" customHeight="1" thickBot="1" x14ac:dyDescent="0.35">
      <c r="B23" s="18" t="s">
        <v>58</v>
      </c>
      <c r="C23" s="24"/>
      <c r="D23" s="24"/>
      <c r="E23" s="24"/>
      <c r="F23" s="24"/>
      <c r="G23" s="24"/>
    </row>
    <row r="24" spans="1:25" ht="22.05" customHeight="1" thickBot="1" x14ac:dyDescent="0.35">
      <c r="A24" s="18" t="s">
        <v>87</v>
      </c>
      <c r="B24" s="26" t="s">
        <v>167</v>
      </c>
      <c r="C24" s="24"/>
      <c r="D24" s="24"/>
      <c r="E24" s="24"/>
      <c r="F24" s="24" t="s">
        <v>38</v>
      </c>
      <c r="G24" s="24"/>
      <c r="H24" s="24">
        <f>IF(C24="X",1)+IF(D24="X",2)+IF(E24="X",3)+IF(F24="X",4)+IF(G24="X",5)</f>
        <v>4</v>
      </c>
    </row>
    <row r="25" spans="1:25" ht="22.05" customHeight="1" thickBot="1" x14ac:dyDescent="0.35">
      <c r="A25" s="18" t="s">
        <v>89</v>
      </c>
      <c r="B25" s="26" t="s">
        <v>169</v>
      </c>
      <c r="C25" s="24"/>
      <c r="D25" s="24"/>
      <c r="E25" s="24"/>
      <c r="F25" s="24" t="s">
        <v>38</v>
      </c>
      <c r="G25" s="24"/>
      <c r="H25" s="24">
        <f>IF(C25="X",1)+IF(D25="X",2)+IF(E25="X",3)+IF(F25="X",4)+IF(G25="X",5)</f>
        <v>4</v>
      </c>
    </row>
    <row r="26" spans="1:25" ht="22.05" customHeight="1" thickBot="1" x14ac:dyDescent="0.35">
      <c r="A26" s="18" t="s">
        <v>170</v>
      </c>
      <c r="B26" s="26" t="s">
        <v>168</v>
      </c>
      <c r="C26" s="24"/>
      <c r="D26" s="24"/>
      <c r="E26" s="24" t="s">
        <v>38</v>
      </c>
      <c r="F26" s="24"/>
      <c r="G26" s="24"/>
      <c r="H26" s="24">
        <f>IF(C26="X",1)+IF(D26="X",2)+IF(E26="X",3)+IF(F26="X",4)+IF(G26="X",5)</f>
        <v>3</v>
      </c>
    </row>
    <row r="27" spans="1:25" ht="22.05" customHeight="1" thickBot="1" x14ac:dyDescent="0.35">
      <c r="B27" s="18" t="s">
        <v>47</v>
      </c>
      <c r="C27" s="24"/>
      <c r="D27" s="24"/>
      <c r="E27" s="24"/>
      <c r="F27" s="24"/>
      <c r="G27" s="24"/>
    </row>
    <row r="28" spans="1:25" ht="22.05" customHeight="1" thickBot="1" x14ac:dyDescent="0.35">
      <c r="A28" s="18" t="s">
        <v>91</v>
      </c>
      <c r="B28" s="26" t="s">
        <v>92</v>
      </c>
      <c r="C28" s="24"/>
      <c r="D28" s="24"/>
      <c r="E28" s="24"/>
      <c r="F28" s="24"/>
      <c r="G28" s="24" t="s">
        <v>38</v>
      </c>
      <c r="H28" s="24">
        <f>IF(C28="X",1)+IF(D28="X",2)+IF(E28="X",3)+IF(F28="X",4)+IF(G28="X",5)</f>
        <v>5</v>
      </c>
    </row>
    <row r="29" spans="1:25" ht="22.05" customHeight="1" thickBot="1" x14ac:dyDescent="0.35">
      <c r="A29" s="21"/>
      <c r="B29" s="22"/>
      <c r="C29" s="25"/>
      <c r="D29" s="25"/>
      <c r="E29" s="25"/>
      <c r="F29" s="25"/>
      <c r="G29" s="25"/>
      <c r="H29" s="2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22.05" customHeight="1" thickBot="1" x14ac:dyDescent="0.35">
      <c r="B30" s="18" t="s">
        <v>30</v>
      </c>
      <c r="C30" s="24"/>
      <c r="D30" s="24"/>
      <c r="E30" s="24"/>
      <c r="F30" s="24"/>
      <c r="G30" s="24"/>
    </row>
    <row r="31" spans="1:25" ht="22.05" customHeight="1" thickBot="1" x14ac:dyDescent="0.35">
      <c r="A31" s="18" t="s">
        <v>93</v>
      </c>
      <c r="B31" s="26" t="s">
        <v>173</v>
      </c>
      <c r="C31" s="24"/>
      <c r="D31" s="24"/>
      <c r="E31" s="24"/>
      <c r="F31" s="24"/>
      <c r="G31" s="24" t="s">
        <v>38</v>
      </c>
      <c r="H31" s="24">
        <f>IF(C31="X",1)+IF(D31="X",2)+IF(E31="X",3)+IF(F31="X",4)+IF(G31="X",5)</f>
        <v>5</v>
      </c>
    </row>
    <row r="32" spans="1:25" ht="22.05" customHeight="1" thickBot="1" x14ac:dyDescent="0.35">
      <c r="A32" s="18" t="s">
        <v>94</v>
      </c>
      <c r="B32" s="26" t="s">
        <v>174</v>
      </c>
      <c r="C32" s="24"/>
      <c r="D32" s="24"/>
      <c r="E32" s="24"/>
      <c r="F32" s="24" t="s">
        <v>38</v>
      </c>
      <c r="G32" s="24"/>
      <c r="H32" s="24">
        <f>IF(C32="X",1)+IF(D32="X",2)+IF(E32="X",3)+IF(F32="X",4)+IF(G32="X",5)</f>
        <v>4</v>
      </c>
    </row>
    <row r="33" spans="1:8" ht="22.05" customHeight="1" thickBot="1" x14ac:dyDescent="0.35">
      <c r="A33" s="18" t="s">
        <v>176</v>
      </c>
      <c r="B33" s="26" t="s">
        <v>177</v>
      </c>
      <c r="C33" s="24"/>
      <c r="D33" s="24"/>
      <c r="E33" s="24"/>
      <c r="F33" s="24" t="s">
        <v>38</v>
      </c>
      <c r="G33" s="24"/>
      <c r="H33" s="24">
        <f>IF(C33="X",1)+IF(D33="X",2)+IF(E33="X",3)+IF(F33="X",4)+IF(G33="X",5)</f>
        <v>4</v>
      </c>
    </row>
    <row r="34" spans="1:8" ht="22.05" customHeight="1" thickBot="1" x14ac:dyDescent="0.35">
      <c r="B34" s="18" t="s">
        <v>41</v>
      </c>
      <c r="C34" s="24"/>
      <c r="D34" s="24"/>
      <c r="E34" s="24"/>
      <c r="F34" s="24"/>
      <c r="G34" s="24"/>
    </row>
    <row r="35" spans="1:8" ht="22.05" customHeight="1" thickBot="1" x14ac:dyDescent="0.35">
      <c r="A35" s="18" t="s">
        <v>95</v>
      </c>
      <c r="B35" s="26" t="s">
        <v>175</v>
      </c>
      <c r="C35" s="24"/>
      <c r="D35" s="24"/>
      <c r="E35" s="24"/>
      <c r="F35" s="24" t="s">
        <v>38</v>
      </c>
      <c r="G35" s="24"/>
      <c r="H35" s="24">
        <f>IF(C35="X",1)+IF(D35="X",2)+IF(E35="X",3)+IF(F35="X",4)+IF(G35="X",5)</f>
        <v>4</v>
      </c>
    </row>
    <row r="36" spans="1:8" ht="22.05" customHeight="1" thickBot="1" x14ac:dyDescent="0.35">
      <c r="B36" s="18" t="s">
        <v>58</v>
      </c>
      <c r="C36" s="24"/>
      <c r="D36" s="24"/>
      <c r="E36" s="24"/>
      <c r="F36" s="24"/>
      <c r="G36" s="24"/>
    </row>
    <row r="37" spans="1:8" ht="22.05" customHeight="1" thickBot="1" x14ac:dyDescent="0.35">
      <c r="A37" s="18" t="s">
        <v>96</v>
      </c>
      <c r="B37" s="26" t="s">
        <v>97</v>
      </c>
      <c r="C37" s="24"/>
      <c r="D37" s="24"/>
      <c r="E37" s="24"/>
      <c r="F37" s="24" t="s">
        <v>38</v>
      </c>
      <c r="G37" s="24"/>
      <c r="H37" s="24">
        <f t="shared" ref="H37:H38" si="2">IF(C37="X",1)+IF(D37="X",2)+IF(E37="X",3)+IF(F37="X",4)+IF(G37="X",5)</f>
        <v>4</v>
      </c>
    </row>
    <row r="38" spans="1:8" ht="22.05" customHeight="1" thickBot="1" x14ac:dyDescent="0.35">
      <c r="A38" s="18" t="s">
        <v>98</v>
      </c>
      <c r="B38" s="26" t="s">
        <v>99</v>
      </c>
      <c r="C38" s="24"/>
      <c r="D38" s="24"/>
      <c r="E38" s="24"/>
      <c r="F38" s="24" t="s">
        <v>38</v>
      </c>
      <c r="G38" s="24"/>
      <c r="H38" s="24">
        <f t="shared" si="2"/>
        <v>4</v>
      </c>
    </row>
    <row r="39" spans="1:8" ht="22.05" customHeight="1" thickBot="1" x14ac:dyDescent="0.35">
      <c r="B39" s="18" t="s">
        <v>47</v>
      </c>
      <c r="C39" s="24"/>
      <c r="D39" s="24"/>
      <c r="E39" s="24"/>
      <c r="F39" s="24"/>
      <c r="G39" s="24"/>
    </row>
    <row r="40" spans="1:8" ht="22.05" customHeight="1" thickBot="1" x14ac:dyDescent="0.35">
      <c r="A40" s="18" t="s">
        <v>100</v>
      </c>
      <c r="B40" s="26" t="s">
        <v>178</v>
      </c>
      <c r="C40" s="24"/>
      <c r="D40" s="24"/>
      <c r="E40" s="24" t="s">
        <v>38</v>
      </c>
      <c r="F40" s="24"/>
      <c r="G40" s="24"/>
      <c r="H40" s="24">
        <f t="shared" ref="H40:H41" si="3">IF(C40="X",1)+IF(D40="X",2)+IF(E40="X",3)+IF(F40="X",4)+IF(G40="X",5)</f>
        <v>3</v>
      </c>
    </row>
    <row r="41" spans="1:8" ht="22.05" customHeight="1" thickBot="1" x14ac:dyDescent="0.35">
      <c r="A41" s="18" t="s">
        <v>101</v>
      </c>
      <c r="B41" s="26" t="s">
        <v>102</v>
      </c>
      <c r="C41" s="24"/>
      <c r="D41" s="24"/>
      <c r="E41" s="24"/>
      <c r="F41" s="24"/>
      <c r="G41" s="24" t="s">
        <v>38</v>
      </c>
      <c r="H41" s="24">
        <f t="shared" si="3"/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1"/>
  <sheetViews>
    <sheetView topLeftCell="A24" zoomScale="76" workbookViewId="0">
      <selection activeCell="H27" sqref="H27"/>
    </sheetView>
  </sheetViews>
  <sheetFormatPr defaultRowHeight="14.4" x14ac:dyDescent="0.3"/>
  <cols>
    <col min="1" max="1" width="16.109375" customWidth="1"/>
    <col min="2" max="2" width="137.77734375" bestFit="1" customWidth="1"/>
    <col min="3" max="3" width="10.44140625" customWidth="1"/>
    <col min="4" max="4" width="17.33203125" customWidth="1"/>
    <col min="5" max="5" width="12.33203125" customWidth="1"/>
    <col min="6" max="6" width="17.109375" customWidth="1"/>
    <col min="7" max="7" width="15" customWidth="1"/>
    <col min="8" max="8" width="13.109375" customWidth="1"/>
  </cols>
  <sheetData>
    <row r="1" spans="1:25" s="20" customFormat="1" ht="22.05" customHeight="1" thickBot="1" x14ac:dyDescent="0.3">
      <c r="B1" s="18" t="s">
        <v>41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9" t="s">
        <v>36</v>
      </c>
    </row>
    <row r="2" spans="1:25" ht="22.05" customHeight="1" thickBot="1" x14ac:dyDescent="0.35">
      <c r="A2" s="18" t="s">
        <v>65</v>
      </c>
      <c r="B2" s="26" t="s">
        <v>156</v>
      </c>
      <c r="C2" s="24"/>
      <c r="D2" s="24"/>
      <c r="E2" s="24"/>
      <c r="F2" s="24" t="s">
        <v>38</v>
      </c>
      <c r="G2" s="24"/>
      <c r="H2" s="24">
        <f>IF(C2="X",1)+IF(D2="X",2)+IF(E2="X",3)+IF(F2="X",4)+IF(G2="X",5)</f>
        <v>4</v>
      </c>
    </row>
    <row r="3" spans="1:25" ht="22.05" customHeight="1" thickBot="1" x14ac:dyDescent="0.35">
      <c r="A3" s="18" t="s">
        <v>67</v>
      </c>
      <c r="B3" s="16" t="s">
        <v>157</v>
      </c>
      <c r="C3" s="24"/>
      <c r="D3" s="24" t="s">
        <v>38</v>
      </c>
      <c r="E3" s="24"/>
      <c r="F3" s="24"/>
      <c r="G3" s="24"/>
      <c r="H3" s="24">
        <f>IF(C3="X",1)+IF(D3="X",2)+IF(E3="X",3)+IF(F3="X",4)+IF(G3="X",5)</f>
        <v>2</v>
      </c>
    </row>
    <row r="4" spans="1:25" ht="22.05" customHeight="1" thickBot="1" x14ac:dyDescent="0.35">
      <c r="B4" s="18" t="s">
        <v>58</v>
      </c>
      <c r="C4" s="24"/>
      <c r="D4" s="24"/>
      <c r="E4" s="24"/>
      <c r="F4" s="24"/>
      <c r="G4" s="24"/>
    </row>
    <row r="5" spans="1:25" ht="22.05" customHeight="1" thickBot="1" x14ac:dyDescent="0.35">
      <c r="A5" s="18" t="s">
        <v>68</v>
      </c>
      <c r="B5" s="26" t="s">
        <v>158</v>
      </c>
      <c r="C5" s="24"/>
      <c r="D5" s="24"/>
      <c r="E5" s="24"/>
      <c r="F5" s="24" t="s">
        <v>38</v>
      </c>
      <c r="G5" s="24"/>
      <c r="H5" s="24">
        <f>IF(C5="X",1)+IF(D5="X",2)+IF(E5="X",3)+IF(F5="X",4)+IF(G5="X",5)</f>
        <v>4</v>
      </c>
    </row>
    <row r="6" spans="1:25" ht="22.05" customHeight="1" thickBot="1" x14ac:dyDescent="0.35">
      <c r="A6" s="21"/>
      <c r="B6" s="22"/>
      <c r="C6" s="25"/>
      <c r="D6" s="25"/>
      <c r="E6" s="25"/>
      <c r="F6" s="25"/>
      <c r="G6" s="25"/>
      <c r="H6" s="25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22.05" customHeight="1" thickBot="1" x14ac:dyDescent="0.35">
      <c r="B7" s="18" t="s">
        <v>30</v>
      </c>
      <c r="C7" s="24"/>
      <c r="D7" s="24"/>
      <c r="E7" s="24"/>
      <c r="F7" s="24"/>
      <c r="G7" s="24"/>
    </row>
    <row r="8" spans="1:25" ht="22.05" customHeight="1" thickBot="1" x14ac:dyDescent="0.35">
      <c r="A8" s="18" t="s">
        <v>74</v>
      </c>
      <c r="B8" s="26" t="s">
        <v>171</v>
      </c>
      <c r="C8" s="24"/>
      <c r="D8" s="24"/>
      <c r="E8" s="24"/>
      <c r="F8" s="24" t="s">
        <v>38</v>
      </c>
      <c r="G8" s="24"/>
      <c r="H8" s="24">
        <f t="shared" ref="H8:H9" si="0">IF(C8="X",1)+IF(D8="X",2)+IF(E8="X",3)+IF(F8="X",4)+IF(G8="X",5)</f>
        <v>4</v>
      </c>
    </row>
    <row r="9" spans="1:25" ht="22.05" customHeight="1" thickBot="1" x14ac:dyDescent="0.35">
      <c r="A9" s="18" t="s">
        <v>75</v>
      </c>
      <c r="B9" s="26" t="s">
        <v>159</v>
      </c>
      <c r="C9" s="24"/>
      <c r="D9" s="24"/>
      <c r="E9" s="24"/>
      <c r="F9" s="24"/>
      <c r="G9" s="24" t="s">
        <v>38</v>
      </c>
      <c r="H9" s="24">
        <f t="shared" si="0"/>
        <v>5</v>
      </c>
    </row>
    <row r="10" spans="1:25" ht="22.05" customHeight="1" thickBot="1" x14ac:dyDescent="0.35">
      <c r="B10" s="18" t="s">
        <v>41</v>
      </c>
      <c r="C10" s="24"/>
      <c r="D10" s="24"/>
      <c r="E10" s="24"/>
      <c r="F10" s="24"/>
      <c r="G10" s="24"/>
    </row>
    <row r="11" spans="1:25" ht="22.05" customHeight="1" thickBot="1" x14ac:dyDescent="0.35">
      <c r="A11" s="18" t="s">
        <v>76</v>
      </c>
      <c r="B11" s="26" t="s">
        <v>160</v>
      </c>
      <c r="C11" s="24"/>
      <c r="D11" s="24"/>
      <c r="E11" s="24"/>
      <c r="F11" s="24"/>
      <c r="G11" s="24" t="s">
        <v>38</v>
      </c>
      <c r="H11" s="24">
        <f>IF(C11="X",1)+IF(D11="X",2)+IF(E11="X",3)+IF(F11="X",4)+IF(G11="X",5)</f>
        <v>5</v>
      </c>
    </row>
    <row r="12" spans="1:25" ht="22.05" customHeight="1" thickBot="1" x14ac:dyDescent="0.35">
      <c r="B12" s="18" t="s">
        <v>58</v>
      </c>
      <c r="C12" s="24"/>
      <c r="D12" s="24"/>
      <c r="E12" s="24"/>
      <c r="F12" s="24"/>
      <c r="G12" s="24"/>
    </row>
    <row r="13" spans="1:25" ht="22.05" customHeight="1" thickBot="1" x14ac:dyDescent="0.35">
      <c r="A13" s="18" t="s">
        <v>77</v>
      </c>
      <c r="B13" s="26" t="s">
        <v>161</v>
      </c>
      <c r="C13" s="24"/>
      <c r="D13" s="24"/>
      <c r="E13" s="24"/>
      <c r="F13" s="24" t="s">
        <v>38</v>
      </c>
      <c r="G13" s="24"/>
      <c r="H13" s="24">
        <f>IF(C13="X",1)+IF(D13="X",2)+IF(E13="X",3)+IF(F13="X",4)+IF(G13="X",5)</f>
        <v>4</v>
      </c>
    </row>
    <row r="14" spans="1:25" ht="22.05" customHeight="1" thickBot="1" x14ac:dyDescent="0.35">
      <c r="B14" s="18" t="s">
        <v>47</v>
      </c>
      <c r="C14" s="24"/>
      <c r="D14" s="24"/>
      <c r="E14" s="24"/>
      <c r="F14" s="24"/>
      <c r="G14" s="24"/>
    </row>
    <row r="15" spans="1:25" ht="22.05" customHeight="1" thickBot="1" x14ac:dyDescent="0.35">
      <c r="A15" s="18" t="s">
        <v>79</v>
      </c>
      <c r="B15" s="26" t="s">
        <v>172</v>
      </c>
      <c r="C15" s="24"/>
      <c r="D15" s="24"/>
      <c r="E15" s="24"/>
      <c r="F15" s="24"/>
      <c r="G15" s="24" t="s">
        <v>38</v>
      </c>
      <c r="H15" s="24">
        <f>IF(C15="X",1)+IF(D15="X",2)+IF(E15="X",3)+IF(F15="X",4)+IF(G15="X",5)</f>
        <v>5</v>
      </c>
    </row>
    <row r="16" spans="1:25" ht="22.05" customHeight="1" thickBot="1" x14ac:dyDescent="0.35">
      <c r="A16" s="21"/>
      <c r="B16" s="22"/>
      <c r="C16" s="25"/>
      <c r="D16" s="25"/>
      <c r="E16" s="25"/>
      <c r="F16" s="25"/>
      <c r="G16" s="25"/>
      <c r="H16" s="25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2.05" customHeight="1" thickBot="1" x14ac:dyDescent="0.35">
      <c r="B17" s="18" t="s">
        <v>30</v>
      </c>
      <c r="C17" s="24"/>
      <c r="D17" s="24"/>
      <c r="E17" s="24"/>
      <c r="F17" s="24"/>
      <c r="G17" s="24"/>
    </row>
    <row r="18" spans="1:25" ht="22.05" customHeight="1" thickBot="1" x14ac:dyDescent="0.35">
      <c r="A18" s="18" t="s">
        <v>84</v>
      </c>
      <c r="B18" s="26" t="s">
        <v>162</v>
      </c>
      <c r="C18" s="24"/>
      <c r="D18" s="24"/>
      <c r="E18" s="24"/>
      <c r="F18" s="24" t="s">
        <v>38</v>
      </c>
      <c r="G18" s="24"/>
      <c r="H18" s="24">
        <f t="shared" ref="H18:H19" si="1">IF(C18="X",1)+IF(D18="X",2)+IF(E18="X",3)+IF(F18="X",4)+IF(G18="X",5)</f>
        <v>4</v>
      </c>
    </row>
    <row r="19" spans="1:25" ht="22.05" customHeight="1" thickBot="1" x14ac:dyDescent="0.35">
      <c r="A19" s="18" t="s">
        <v>85</v>
      </c>
      <c r="B19" s="26" t="s">
        <v>163</v>
      </c>
      <c r="C19" s="24"/>
      <c r="D19" s="24"/>
      <c r="E19" s="24"/>
      <c r="F19" s="24"/>
      <c r="G19" s="24" t="s">
        <v>38</v>
      </c>
      <c r="H19" s="24">
        <f t="shared" si="1"/>
        <v>5</v>
      </c>
    </row>
    <row r="20" spans="1:25" ht="22.05" customHeight="1" thickBot="1" x14ac:dyDescent="0.35">
      <c r="B20" s="18" t="s">
        <v>41</v>
      </c>
      <c r="C20" s="24"/>
      <c r="D20" s="24"/>
      <c r="E20" s="24"/>
      <c r="F20" s="24"/>
      <c r="G20" s="24"/>
    </row>
    <row r="21" spans="1:25" ht="22.05" customHeight="1" thickBot="1" x14ac:dyDescent="0.35">
      <c r="A21" s="18" t="s">
        <v>86</v>
      </c>
      <c r="B21" s="26" t="s">
        <v>164</v>
      </c>
      <c r="C21" s="24"/>
      <c r="D21" s="24"/>
      <c r="E21" s="24"/>
      <c r="F21" s="24"/>
      <c r="G21" s="24" t="s">
        <v>38</v>
      </c>
      <c r="H21" s="24">
        <f>IF(C21="X",1)+IF(D21="X",2)+IF(E21="X",3)+IF(F21="X",4)+IF(G21="X",5)</f>
        <v>5</v>
      </c>
    </row>
    <row r="22" spans="1:25" ht="22.05" customHeight="1" thickBot="1" x14ac:dyDescent="0.35">
      <c r="A22" s="18" t="s">
        <v>165</v>
      </c>
      <c r="B22" s="26" t="s">
        <v>166</v>
      </c>
      <c r="C22" s="24"/>
      <c r="D22" s="24"/>
      <c r="E22" s="24"/>
      <c r="F22" s="24"/>
      <c r="G22" s="24" t="s">
        <v>38</v>
      </c>
      <c r="H22" s="24">
        <f>IF(C22="X",1)+IF(D22="X",2)+IF(E22="X",3)+IF(F22="X",4)+IF(G22="X",5)</f>
        <v>5</v>
      </c>
    </row>
    <row r="23" spans="1:25" ht="22.05" customHeight="1" thickBot="1" x14ac:dyDescent="0.35">
      <c r="B23" s="18" t="s">
        <v>58</v>
      </c>
      <c r="C23" s="24"/>
      <c r="D23" s="24"/>
      <c r="E23" s="24"/>
      <c r="F23" s="24"/>
      <c r="G23" s="24"/>
    </row>
    <row r="24" spans="1:25" ht="22.05" customHeight="1" thickBot="1" x14ac:dyDescent="0.35">
      <c r="A24" s="18" t="s">
        <v>87</v>
      </c>
      <c r="B24" s="26" t="s">
        <v>167</v>
      </c>
      <c r="C24" s="24"/>
      <c r="D24" s="24"/>
      <c r="E24" s="24"/>
      <c r="F24" s="24" t="s">
        <v>38</v>
      </c>
      <c r="G24" s="24"/>
      <c r="H24" s="24">
        <f>IF(C24="X",1)+IF(D24="X",2)+IF(E24="X",3)+IF(F24="X",4)+IF(G24="X",5)</f>
        <v>4</v>
      </c>
    </row>
    <row r="25" spans="1:25" ht="22.05" customHeight="1" thickBot="1" x14ac:dyDescent="0.35">
      <c r="A25" s="18" t="s">
        <v>89</v>
      </c>
      <c r="B25" s="26" t="s">
        <v>169</v>
      </c>
      <c r="C25" s="24"/>
      <c r="D25" s="24"/>
      <c r="E25" s="24"/>
      <c r="F25" s="24" t="s">
        <v>38</v>
      </c>
      <c r="G25" s="24"/>
      <c r="H25" s="24">
        <f>IF(C25="X",1)+IF(D25="X",2)+IF(E25="X",3)+IF(F25="X",4)+IF(G25="X",5)</f>
        <v>4</v>
      </c>
    </row>
    <row r="26" spans="1:25" ht="22.05" customHeight="1" thickBot="1" x14ac:dyDescent="0.35">
      <c r="A26" s="18" t="s">
        <v>170</v>
      </c>
      <c r="B26" s="26" t="s">
        <v>168</v>
      </c>
      <c r="C26" s="24"/>
      <c r="D26" s="24"/>
      <c r="E26" s="24" t="s">
        <v>38</v>
      </c>
      <c r="F26" s="24"/>
      <c r="G26" s="24"/>
      <c r="H26" s="24">
        <f>IF(C26="X",1)+IF(D26="X",2)+IF(E26="X",3)+IF(F26="X",4)+IF(G26="X",5)</f>
        <v>3</v>
      </c>
    </row>
    <row r="27" spans="1:25" ht="22.05" customHeight="1" thickBot="1" x14ac:dyDescent="0.35">
      <c r="B27" s="18" t="s">
        <v>47</v>
      </c>
      <c r="C27" s="24"/>
      <c r="D27" s="24"/>
      <c r="E27" s="24"/>
      <c r="F27" s="24"/>
      <c r="G27" s="24"/>
    </row>
    <row r="28" spans="1:25" ht="22.05" customHeight="1" thickBot="1" x14ac:dyDescent="0.35">
      <c r="A28" s="18" t="s">
        <v>91</v>
      </c>
      <c r="B28" s="26" t="s">
        <v>92</v>
      </c>
      <c r="C28" s="24"/>
      <c r="D28" s="24"/>
      <c r="E28" s="24"/>
      <c r="F28" s="24" t="s">
        <v>38</v>
      </c>
      <c r="G28" s="24"/>
      <c r="H28" s="24">
        <f>IF(C28="X",1)+IF(D28="X",2)+IF(E28="X",3)+IF(F28="X",4)+IF(G28="X",5)</f>
        <v>4</v>
      </c>
    </row>
    <row r="29" spans="1:25" ht="22.05" customHeight="1" thickBot="1" x14ac:dyDescent="0.35">
      <c r="A29" s="21"/>
      <c r="B29" s="22"/>
      <c r="C29" s="25"/>
      <c r="D29" s="25"/>
      <c r="E29" s="25"/>
      <c r="F29" s="25"/>
      <c r="G29" s="25"/>
      <c r="H29" s="2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22.05" customHeight="1" thickBot="1" x14ac:dyDescent="0.35">
      <c r="B30" s="18" t="s">
        <v>30</v>
      </c>
      <c r="C30" s="24"/>
      <c r="D30" s="24"/>
      <c r="E30" s="24"/>
      <c r="F30" s="24"/>
      <c r="G30" s="24"/>
    </row>
    <row r="31" spans="1:25" ht="22.05" customHeight="1" thickBot="1" x14ac:dyDescent="0.35">
      <c r="A31" s="18" t="s">
        <v>93</v>
      </c>
      <c r="B31" s="26" t="s">
        <v>173</v>
      </c>
      <c r="C31" s="24"/>
      <c r="D31" s="24"/>
      <c r="E31" s="24" t="s">
        <v>38</v>
      </c>
      <c r="F31" s="24"/>
      <c r="G31" s="24"/>
      <c r="H31" s="24">
        <f>IF(C31="X",1)+IF(D31="X",2)+IF(E31="X",3)+IF(F31="X",4)+IF(G31="X",5)</f>
        <v>3</v>
      </c>
    </row>
    <row r="32" spans="1:25" ht="22.05" customHeight="1" thickBot="1" x14ac:dyDescent="0.35">
      <c r="A32" s="18" t="s">
        <v>94</v>
      </c>
      <c r="B32" s="26" t="s">
        <v>174</v>
      </c>
      <c r="C32" s="24"/>
      <c r="D32" s="24"/>
      <c r="E32" s="24"/>
      <c r="F32" s="24"/>
      <c r="G32" s="24" t="s">
        <v>38</v>
      </c>
      <c r="H32" s="24">
        <f>IF(C32="X",1)+IF(D32="X",2)+IF(E32="X",3)+IF(F32="X",4)+IF(G32="X",5)</f>
        <v>5</v>
      </c>
    </row>
    <row r="33" spans="1:8" ht="22.05" customHeight="1" thickBot="1" x14ac:dyDescent="0.35">
      <c r="A33" s="18" t="s">
        <v>176</v>
      </c>
      <c r="B33" s="26" t="s">
        <v>177</v>
      </c>
      <c r="C33" s="24"/>
      <c r="D33" s="24"/>
      <c r="E33" s="24" t="s">
        <v>38</v>
      </c>
      <c r="F33" s="24"/>
      <c r="G33" s="24"/>
      <c r="H33" s="24">
        <f>IF(C33="X",1)+IF(D33="X",2)+IF(E33="X",3)+IF(F33="X",4)+IF(G33="X",5)</f>
        <v>3</v>
      </c>
    </row>
    <row r="34" spans="1:8" ht="22.05" customHeight="1" thickBot="1" x14ac:dyDescent="0.35">
      <c r="B34" s="18" t="s">
        <v>41</v>
      </c>
      <c r="C34" s="24"/>
      <c r="D34" s="24"/>
      <c r="E34" s="24"/>
      <c r="F34" s="24"/>
      <c r="G34" s="24"/>
    </row>
    <row r="35" spans="1:8" ht="22.05" customHeight="1" thickBot="1" x14ac:dyDescent="0.35">
      <c r="A35" s="18" t="s">
        <v>95</v>
      </c>
      <c r="B35" s="26" t="s">
        <v>175</v>
      </c>
      <c r="C35" s="24"/>
      <c r="D35" s="24"/>
      <c r="E35" s="24"/>
      <c r="F35" s="24"/>
      <c r="G35" s="24" t="s">
        <v>38</v>
      </c>
      <c r="H35" s="24">
        <f>IF(C35="X",1)+IF(D35="X",2)+IF(E35="X",3)+IF(F35="X",4)+IF(G35="X",5)</f>
        <v>5</v>
      </c>
    </row>
    <row r="36" spans="1:8" ht="22.05" customHeight="1" thickBot="1" x14ac:dyDescent="0.35">
      <c r="B36" s="18" t="s">
        <v>58</v>
      </c>
      <c r="C36" s="24"/>
      <c r="D36" s="24"/>
      <c r="E36" s="24"/>
      <c r="F36" s="24"/>
      <c r="G36" s="24"/>
    </row>
    <row r="37" spans="1:8" ht="22.05" customHeight="1" thickBot="1" x14ac:dyDescent="0.35">
      <c r="A37" s="18" t="s">
        <v>96</v>
      </c>
      <c r="B37" s="26" t="s">
        <v>97</v>
      </c>
      <c r="C37" s="24"/>
      <c r="D37" s="24"/>
      <c r="E37" s="24"/>
      <c r="F37" s="24" t="s">
        <v>38</v>
      </c>
      <c r="G37" s="24"/>
      <c r="H37" s="24">
        <f t="shared" ref="H37:H38" si="2">IF(C37="X",1)+IF(D37="X",2)+IF(E37="X",3)+IF(F37="X",4)+IF(G37="X",5)</f>
        <v>4</v>
      </c>
    </row>
    <row r="38" spans="1:8" ht="22.05" customHeight="1" thickBot="1" x14ac:dyDescent="0.35">
      <c r="A38" s="18" t="s">
        <v>98</v>
      </c>
      <c r="B38" s="26" t="s">
        <v>99</v>
      </c>
      <c r="C38" s="24"/>
      <c r="D38" s="24"/>
      <c r="E38" s="24" t="s">
        <v>38</v>
      </c>
      <c r="F38" s="24"/>
      <c r="G38" s="24"/>
      <c r="H38" s="24">
        <f t="shared" si="2"/>
        <v>3</v>
      </c>
    </row>
    <row r="39" spans="1:8" ht="22.05" customHeight="1" thickBot="1" x14ac:dyDescent="0.35">
      <c r="B39" s="18" t="s">
        <v>47</v>
      </c>
      <c r="C39" s="24"/>
      <c r="D39" s="24"/>
      <c r="E39" s="24"/>
      <c r="F39" s="24"/>
      <c r="G39" s="24"/>
    </row>
    <row r="40" spans="1:8" ht="22.05" customHeight="1" thickBot="1" x14ac:dyDescent="0.35">
      <c r="A40" s="18" t="s">
        <v>100</v>
      </c>
      <c r="B40" s="26" t="s">
        <v>178</v>
      </c>
      <c r="C40" s="24"/>
      <c r="D40" s="24"/>
      <c r="E40" s="24"/>
      <c r="F40" s="24"/>
      <c r="G40" s="24" t="s">
        <v>38</v>
      </c>
      <c r="H40" s="24">
        <f t="shared" ref="H40:H41" si="3">IF(C40="X",1)+IF(D40="X",2)+IF(E40="X",3)+IF(F40="X",4)+IF(G40="X",5)</f>
        <v>5</v>
      </c>
    </row>
    <row r="41" spans="1:8" ht="22.05" customHeight="1" thickBot="1" x14ac:dyDescent="0.35">
      <c r="A41" s="18" t="s">
        <v>101</v>
      </c>
      <c r="B41" s="26" t="s">
        <v>102</v>
      </c>
      <c r="C41" s="24"/>
      <c r="D41" s="24"/>
      <c r="E41" s="24"/>
      <c r="F41" s="24"/>
      <c r="G41" s="24" t="s">
        <v>38</v>
      </c>
      <c r="H41" s="24">
        <f t="shared" si="3"/>
        <v>5</v>
      </c>
    </row>
  </sheetData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7"/>
  <sheetViews>
    <sheetView topLeftCell="A65" zoomScale="70" workbookViewId="0">
      <selection activeCell="B89" sqref="B89"/>
    </sheetView>
  </sheetViews>
  <sheetFormatPr defaultRowHeight="14.4" x14ac:dyDescent="0.3"/>
  <cols>
    <col min="1" max="1" width="15.88671875" customWidth="1"/>
    <col min="2" max="2" width="126.33203125" bestFit="1" customWidth="1"/>
    <col min="3" max="3" width="12.88671875" customWidth="1"/>
    <col min="4" max="4" width="57.44140625" customWidth="1"/>
    <col min="5" max="5" width="24.21875" customWidth="1"/>
  </cols>
  <sheetData>
    <row r="1" spans="1:5" ht="22.05" customHeight="1" thickBot="1" x14ac:dyDescent="0.35">
      <c r="B1" s="18"/>
      <c r="C1" s="19" t="s">
        <v>36</v>
      </c>
      <c r="D1" s="19"/>
      <c r="E1" s="19"/>
    </row>
    <row r="2" spans="1:5" ht="22.05" customHeight="1" thickBot="1" x14ac:dyDescent="0.35">
      <c r="A2" s="18" t="s">
        <v>37</v>
      </c>
      <c r="B2" s="16" t="s">
        <v>121</v>
      </c>
      <c r="C2">
        <f>AVERAGE(Utente1!H2,Utente2!H2,Utente3!H2,Utente4!H2,Utente5!H2,Utente6!H2)</f>
        <v>3.8333333333333335</v>
      </c>
      <c r="D2" t="s">
        <v>103</v>
      </c>
    </row>
    <row r="3" spans="1:5" ht="22.05" customHeight="1" thickBot="1" x14ac:dyDescent="0.35">
      <c r="A3" s="18" t="s">
        <v>39</v>
      </c>
      <c r="B3" s="16" t="s">
        <v>40</v>
      </c>
      <c r="C3">
        <f>AVERAGE(Utente1!H3,Utente2!H3,Utente3!H3,Utente4!H3,Utente5!H3,Utente6!H3)</f>
        <v>3.6666666666666665</v>
      </c>
      <c r="D3" t="s">
        <v>103</v>
      </c>
    </row>
    <row r="4" spans="1:5" ht="22.05" customHeight="1" thickBot="1" x14ac:dyDescent="0.35">
      <c r="A4" s="27"/>
      <c r="C4" s="28">
        <f>AVERAGE(C2:C3)</f>
        <v>3.75</v>
      </c>
      <c r="D4" t="s">
        <v>104</v>
      </c>
      <c r="E4" s="18" t="s">
        <v>30</v>
      </c>
    </row>
    <row r="5" spans="1:5" ht="22.05" customHeight="1" thickBot="1" x14ac:dyDescent="0.35">
      <c r="A5" s="18" t="s">
        <v>42</v>
      </c>
      <c r="B5" s="16" t="s">
        <v>123</v>
      </c>
      <c r="C5">
        <f>AVERAGE(Utente1!H5,Utente2!H5,Utente3!H5,Utente4!H5,Utente5!H5,Utente6!H5)</f>
        <v>3.6666666666666665</v>
      </c>
      <c r="D5" t="s">
        <v>103</v>
      </c>
    </row>
    <row r="6" spans="1:5" ht="22.05" customHeight="1" thickBot="1" x14ac:dyDescent="0.35">
      <c r="A6" s="27"/>
      <c r="C6" s="28">
        <f>AVERAGE(C5)</f>
        <v>3.6666666666666665</v>
      </c>
      <c r="D6" t="s">
        <v>104</v>
      </c>
      <c r="E6" s="18" t="s">
        <v>41</v>
      </c>
    </row>
    <row r="7" spans="1:5" ht="22.05" customHeight="1" thickBot="1" x14ac:dyDescent="0.35">
      <c r="A7" s="18" t="s">
        <v>43</v>
      </c>
      <c r="B7" s="16" t="s">
        <v>126</v>
      </c>
      <c r="C7">
        <f>AVERAGE(Utente1!H8,Utente2!H8,Utente3!H8,Utente4!H8,Utente5!H8,Utente6!H8)</f>
        <v>4.5999999999999996</v>
      </c>
      <c r="D7" t="s">
        <v>103</v>
      </c>
    </row>
    <row r="8" spans="1:5" ht="22.05" customHeight="1" thickBot="1" x14ac:dyDescent="0.35">
      <c r="A8" s="18" t="s">
        <v>45</v>
      </c>
      <c r="B8" s="16" t="s">
        <v>44</v>
      </c>
      <c r="C8">
        <f>AVERAGE(Utente1!H9,Utente2!H9,Utente3!H9,Utente4!H9,Utente5!H9,Utente6!H9)</f>
        <v>3.8333333333333335</v>
      </c>
      <c r="D8" t="s">
        <v>103</v>
      </c>
    </row>
    <row r="9" spans="1:5" ht="22.05" customHeight="1" thickBot="1" x14ac:dyDescent="0.35">
      <c r="A9" s="27"/>
      <c r="C9" s="28">
        <f>AVERAGE(C7:C8)</f>
        <v>4.2166666666666668</v>
      </c>
      <c r="D9" t="s">
        <v>104</v>
      </c>
      <c r="E9" s="18" t="s">
        <v>30</v>
      </c>
    </row>
    <row r="10" spans="1:5" ht="22.05" customHeight="1" thickBot="1" x14ac:dyDescent="0.35">
      <c r="A10" s="18" t="s">
        <v>46</v>
      </c>
      <c r="B10" s="16" t="s">
        <v>124</v>
      </c>
      <c r="C10">
        <f>AVERAGE(Utente1!H11,Utente2!H11,Utente3!H11,Utente4!H11,Utente5!H11,Utente6!H11)</f>
        <v>4.666666666666667</v>
      </c>
      <c r="D10" t="s">
        <v>103</v>
      </c>
    </row>
    <row r="11" spans="1:5" ht="22.05" customHeight="1" thickBot="1" x14ac:dyDescent="0.35">
      <c r="A11" s="27"/>
      <c r="C11" s="28">
        <f>AVERAGE(C10)</f>
        <v>4.666666666666667</v>
      </c>
      <c r="D11" t="s">
        <v>104</v>
      </c>
      <c r="E11" s="18" t="s">
        <v>41</v>
      </c>
    </row>
    <row r="12" spans="1:5" ht="22.05" customHeight="1" thickBot="1" x14ac:dyDescent="0.35">
      <c r="A12" s="18" t="s">
        <v>48</v>
      </c>
      <c r="B12" s="16" t="s">
        <v>125</v>
      </c>
      <c r="C12">
        <f>AVERAGE(Utente1!H13,Utente2!H13,Utente3!H13,Utente4!H13,Utente5!H13,Utente6!H13)</f>
        <v>4.666666666666667</v>
      </c>
      <c r="D12" t="s">
        <v>103</v>
      </c>
    </row>
    <row r="13" spans="1:5" ht="22.05" customHeight="1" thickBot="1" x14ac:dyDescent="0.35">
      <c r="A13" s="18" t="s">
        <v>49</v>
      </c>
      <c r="B13" s="16" t="s">
        <v>127</v>
      </c>
      <c r="C13">
        <f>AVERAGE(Utente1!H14,Utente2!H14,Utente3!H14,Utente4!H14,Utente5!H14,Utente6!H14)</f>
        <v>3.6666666666666665</v>
      </c>
      <c r="D13" t="s">
        <v>103</v>
      </c>
    </row>
    <row r="14" spans="1:5" ht="22.05" customHeight="1" thickBot="1" x14ac:dyDescent="0.35">
      <c r="A14" s="27"/>
      <c r="C14" s="28">
        <f>AVERAGE(C12:C13)</f>
        <v>4.166666666666667</v>
      </c>
      <c r="D14" t="s">
        <v>104</v>
      </c>
      <c r="E14" s="18" t="s">
        <v>47</v>
      </c>
    </row>
    <row r="15" spans="1:5" ht="22.05" customHeight="1" thickBot="1" x14ac:dyDescent="0.35">
      <c r="A15" s="18" t="s">
        <v>50</v>
      </c>
      <c r="B15" s="16" t="s">
        <v>128</v>
      </c>
      <c r="C15">
        <f>AVERAGE(Utente1!H17,Utente2!H17,Utente3!H17,Utente4!H17,Utente5!H17,Utente6!H17)</f>
        <v>4.8</v>
      </c>
      <c r="D15" t="s">
        <v>103</v>
      </c>
    </row>
    <row r="16" spans="1:5" ht="22.05" customHeight="1" thickBot="1" x14ac:dyDescent="0.35">
      <c r="A16" s="18" t="s">
        <v>51</v>
      </c>
      <c r="B16" s="16" t="s">
        <v>131</v>
      </c>
      <c r="C16">
        <f>AVERAGE(Utente1!H18,Utente2!H18,Utente3!H18,Utente4!H18,Utente5!H18,Utente6!H18)</f>
        <v>4.666666666666667</v>
      </c>
      <c r="D16" t="s">
        <v>103</v>
      </c>
    </row>
    <row r="17" spans="1:5" ht="22.05" customHeight="1" thickBot="1" x14ac:dyDescent="0.35">
      <c r="A17" s="18" t="s">
        <v>129</v>
      </c>
      <c r="B17" s="16" t="s">
        <v>52</v>
      </c>
      <c r="C17">
        <f>AVERAGE(Utente1!H19,Utente2!H19,Utente3!H19,Utente4!H19,Utente5!H19,Utente6!H19)</f>
        <v>3.3333333333333335</v>
      </c>
      <c r="D17" t="s">
        <v>103</v>
      </c>
    </row>
    <row r="18" spans="1:5" ht="22.05" customHeight="1" thickBot="1" x14ac:dyDescent="0.35">
      <c r="A18" s="18" t="s">
        <v>130</v>
      </c>
      <c r="B18" s="16" t="s">
        <v>122</v>
      </c>
      <c r="C18">
        <f>AVERAGE(Utente1!H20,Utente2!H20,Utente3!H20,Utente4!H20,Utente5!H20,Utente6!H20)</f>
        <v>2.4</v>
      </c>
      <c r="D18" t="s">
        <v>103</v>
      </c>
    </row>
    <row r="19" spans="1:5" ht="22.05" customHeight="1" thickBot="1" x14ac:dyDescent="0.35">
      <c r="A19" s="27"/>
      <c r="C19" s="28">
        <f>AVERAGE((C15:C18))</f>
        <v>3.8000000000000003</v>
      </c>
      <c r="D19" t="s">
        <v>104</v>
      </c>
      <c r="E19" s="18" t="s">
        <v>30</v>
      </c>
    </row>
    <row r="20" spans="1:5" ht="22.05" customHeight="1" thickBot="1" x14ac:dyDescent="0.35">
      <c r="A20" s="18" t="s">
        <v>53</v>
      </c>
      <c r="B20" s="16" t="s">
        <v>132</v>
      </c>
      <c r="C20">
        <f>AVERAGE(Utente1!H22,Utente2!H22,Utente3!H22,Utente4!H22,Utente5!H22,Utente6!H22)</f>
        <v>3.8333333333333335</v>
      </c>
      <c r="D20" t="s">
        <v>103</v>
      </c>
    </row>
    <row r="21" spans="1:5" ht="22.05" customHeight="1" thickBot="1" x14ac:dyDescent="0.35">
      <c r="A21" s="27"/>
      <c r="C21" s="28">
        <f>AVERAGE(C20)</f>
        <v>3.8333333333333335</v>
      </c>
      <c r="D21" t="s">
        <v>104</v>
      </c>
      <c r="E21" s="18" t="s">
        <v>41</v>
      </c>
    </row>
    <row r="22" spans="1:5" ht="22.05" customHeight="1" thickBot="1" x14ac:dyDescent="0.35">
      <c r="A22" s="18" t="s">
        <v>54</v>
      </c>
      <c r="B22" s="16" t="s">
        <v>55</v>
      </c>
      <c r="C22">
        <f>AVERAGE(Utente1!H24,Utente2!H24,Utente3!H24,Utente4!H24,Utente5!H24,Utente6!H24)</f>
        <v>3.5</v>
      </c>
      <c r="D22" t="s">
        <v>103</v>
      </c>
    </row>
    <row r="23" spans="1:5" ht="22.05" customHeight="1" thickBot="1" x14ac:dyDescent="0.35">
      <c r="A23" s="27"/>
      <c r="C23" s="28">
        <f>AVERAGE(C22)</f>
        <v>3.5</v>
      </c>
      <c r="D23" t="s">
        <v>104</v>
      </c>
      <c r="E23" s="18" t="s">
        <v>47</v>
      </c>
    </row>
    <row r="24" spans="1:5" ht="22.05" customHeight="1" thickBot="1" x14ac:dyDescent="0.35">
      <c r="A24" s="18" t="s">
        <v>56</v>
      </c>
      <c r="B24" s="16" t="s">
        <v>180</v>
      </c>
      <c r="C24">
        <f>AVERAGE(Utente1!H27,Utente2!H27,Utente3!H27,Utente4!H27,Utente5!H27,Utente6!H27)</f>
        <v>4.166666666666667</v>
      </c>
      <c r="D24" t="s">
        <v>103</v>
      </c>
    </row>
    <row r="25" spans="1:5" ht="22.05" customHeight="1" thickBot="1" x14ac:dyDescent="0.35">
      <c r="A25" s="18" t="s">
        <v>133</v>
      </c>
      <c r="B25" s="16" t="s">
        <v>136</v>
      </c>
      <c r="C25">
        <f>AVERAGE(Utente1!H28,Utente2!H28,Utente3!H28,Utente4!H28,Utente5!H28,Utente6!H28)</f>
        <v>4.8</v>
      </c>
      <c r="D25" t="s">
        <v>103</v>
      </c>
    </row>
    <row r="26" spans="1:5" ht="22.05" customHeight="1" thickBot="1" x14ac:dyDescent="0.35">
      <c r="A26" s="27"/>
      <c r="C26" s="28">
        <f>AVERAGE(C24:C25)</f>
        <v>4.4833333333333334</v>
      </c>
      <c r="D26" t="s">
        <v>104</v>
      </c>
      <c r="E26" s="18" t="s">
        <v>41</v>
      </c>
    </row>
    <row r="27" spans="1:5" ht="22.05" customHeight="1" thickBot="1" x14ac:dyDescent="0.35">
      <c r="A27" s="18" t="s">
        <v>59</v>
      </c>
      <c r="B27" s="16" t="s">
        <v>134</v>
      </c>
      <c r="C27">
        <f>AVERAGE(Utente1!H30,Utente2!H30,Utente3!H30,Utente4!H30,Utente5!H30,Utente6!H30)</f>
        <v>2.8333333333333335</v>
      </c>
      <c r="D27" t="s">
        <v>103</v>
      </c>
    </row>
    <row r="28" spans="1:5" ht="22.05" customHeight="1" thickBot="1" x14ac:dyDescent="0.35">
      <c r="A28" s="18" t="s">
        <v>60</v>
      </c>
      <c r="B28" s="16" t="s">
        <v>135</v>
      </c>
      <c r="C28">
        <f>AVERAGE(Utente1!H31,Utente2!H31,Utente3!H31,Utente4!H31,Utente5!H31,Utente6!H31)</f>
        <v>4.166666666666667</v>
      </c>
      <c r="D28" t="s">
        <v>103</v>
      </c>
    </row>
    <row r="29" spans="1:5" ht="22.05" customHeight="1" thickBot="1" x14ac:dyDescent="0.35">
      <c r="A29" s="27"/>
      <c r="C29" s="28">
        <f>AVERAGE(C27:C28)</f>
        <v>3.5</v>
      </c>
      <c r="D29" t="s">
        <v>104</v>
      </c>
      <c r="E29" s="18" t="s">
        <v>58</v>
      </c>
    </row>
    <row r="30" spans="1:5" ht="22.05" customHeight="1" thickBot="1" x14ac:dyDescent="0.35">
      <c r="A30" s="18" t="s">
        <v>61</v>
      </c>
      <c r="B30" s="16" t="s">
        <v>62</v>
      </c>
      <c r="C30">
        <f>AVERAGE(Utente1!H33,Utente2!H33,Utente3!H33,Utente4!H33,Utente5!H33,Utente6!H33)</f>
        <v>3.8333333333333335</v>
      </c>
      <c r="D30" t="s">
        <v>103</v>
      </c>
    </row>
    <row r="31" spans="1:5" ht="22.05" customHeight="1" thickBot="1" x14ac:dyDescent="0.35">
      <c r="A31" s="18" t="s">
        <v>63</v>
      </c>
      <c r="B31" s="16" t="s">
        <v>137</v>
      </c>
      <c r="C31">
        <f>AVERAGE(Utente1!H34,Utente2!H34,Utente3!H34,Utente4!H34,Utente5!H34,Utente6!H34)</f>
        <v>4</v>
      </c>
      <c r="D31" t="s">
        <v>103</v>
      </c>
    </row>
    <row r="32" spans="1:5" ht="22.05" customHeight="1" thickBot="1" x14ac:dyDescent="0.35">
      <c r="A32" s="18" t="s">
        <v>64</v>
      </c>
      <c r="B32" s="16" t="s">
        <v>138</v>
      </c>
      <c r="C32">
        <f>AVERAGE(Utente1!H35,Utente2!H35,Utente3!H35,Utente4!H35,Utente5!H35,Utente6!H35)</f>
        <v>3.6666666666666665</v>
      </c>
      <c r="D32" t="s">
        <v>103</v>
      </c>
    </row>
    <row r="33" spans="1:5" ht="22.05" customHeight="1" thickBot="1" x14ac:dyDescent="0.35">
      <c r="A33" s="27"/>
      <c r="C33" s="28">
        <f>AVERAGE(C30:C32)</f>
        <v>3.8333333333333335</v>
      </c>
      <c r="D33" t="s">
        <v>104</v>
      </c>
      <c r="E33" s="18" t="s">
        <v>47</v>
      </c>
    </row>
    <row r="34" spans="1:5" ht="22.05" customHeight="1" thickBot="1" x14ac:dyDescent="0.35">
      <c r="A34" s="18" t="s">
        <v>65</v>
      </c>
      <c r="B34" s="16" t="s">
        <v>66</v>
      </c>
      <c r="C34">
        <f>AVERAGE(Utente1!H38,Utente2!H38,Utente3!H38,Utente4!H38,Utente5!H38,Utente6!H38)</f>
        <v>3.8333333333333335</v>
      </c>
      <c r="D34" t="s">
        <v>103</v>
      </c>
    </row>
    <row r="35" spans="1:5" ht="22.05" customHeight="1" thickBot="1" x14ac:dyDescent="0.35">
      <c r="A35" s="18" t="s">
        <v>67</v>
      </c>
      <c r="B35" s="16" t="s">
        <v>139</v>
      </c>
      <c r="C35">
        <f>AVERAGE(Utente1!H39,Utente2!H39,Utente3!H39,Utente4!H39,Utente5!H39,Utente6!H39)</f>
        <v>4.666666666666667</v>
      </c>
      <c r="D35" t="s">
        <v>103</v>
      </c>
    </row>
    <row r="36" spans="1:5" ht="22.05" customHeight="1" thickBot="1" x14ac:dyDescent="0.35">
      <c r="A36" s="27"/>
      <c r="C36" s="28">
        <f>AVERAGE(C34:C35)</f>
        <v>4.25</v>
      </c>
      <c r="D36" t="s">
        <v>104</v>
      </c>
      <c r="E36" s="18" t="s">
        <v>41</v>
      </c>
    </row>
    <row r="37" spans="1:5" ht="22.05" customHeight="1" thickBot="1" x14ac:dyDescent="0.35">
      <c r="A37" s="18" t="s">
        <v>68</v>
      </c>
      <c r="B37" s="16" t="s">
        <v>140</v>
      </c>
      <c r="C37">
        <f>AVERAGE(Utente1!H41,Utente2!H41,Utente3!H41,Utente4!H41,Utente5!H41,Utente6!H41)</f>
        <v>3</v>
      </c>
      <c r="D37" t="s">
        <v>103</v>
      </c>
    </row>
    <row r="38" spans="1:5" ht="22.05" customHeight="1" thickBot="1" x14ac:dyDescent="0.35">
      <c r="A38" s="18" t="s">
        <v>69</v>
      </c>
      <c r="B38" s="16" t="s">
        <v>141</v>
      </c>
      <c r="C38">
        <f>AVERAGE(Utente1!H42,Utente2!H42,Utente3!H42,Utente4!H42,Utente5!H42,Utente6!H42)</f>
        <v>3.8333333333333335</v>
      </c>
      <c r="D38" t="s">
        <v>103</v>
      </c>
    </row>
    <row r="39" spans="1:5" ht="22.05" customHeight="1" thickBot="1" x14ac:dyDescent="0.35">
      <c r="A39" s="18" t="s">
        <v>142</v>
      </c>
      <c r="B39" s="16" t="s">
        <v>143</v>
      </c>
      <c r="C39">
        <f>AVERAGE(Utente1!H43,Utente2!H43,Utente3!H43,Utente4!H43,Utente5!H43,Utente6!H43)</f>
        <v>4.166666666666667</v>
      </c>
      <c r="D39" t="s">
        <v>103</v>
      </c>
    </row>
    <row r="40" spans="1:5" ht="22.05" customHeight="1" thickBot="1" x14ac:dyDescent="0.35">
      <c r="A40" s="27"/>
      <c r="C40" s="28">
        <f>AVERAGE(C37:C39)</f>
        <v>3.6666666666666665</v>
      </c>
      <c r="D40" t="s">
        <v>104</v>
      </c>
      <c r="E40" s="18" t="s">
        <v>58</v>
      </c>
    </row>
    <row r="41" spans="1:5" ht="22.05" customHeight="1" thickBot="1" x14ac:dyDescent="0.35">
      <c r="A41" s="18" t="s">
        <v>70</v>
      </c>
      <c r="B41" s="16" t="s">
        <v>71</v>
      </c>
      <c r="C41">
        <f>AVERAGE(Utente1!H46,Utente2!H46,Utente3!H46,Utente4!H46,Utente5!H46,Utente6!H46)</f>
        <v>4</v>
      </c>
      <c r="D41" t="s">
        <v>103</v>
      </c>
    </row>
    <row r="42" spans="1:5" ht="22.05" customHeight="1" thickBot="1" x14ac:dyDescent="0.35">
      <c r="A42" s="18" t="s">
        <v>72</v>
      </c>
      <c r="B42" s="16" t="s">
        <v>144</v>
      </c>
      <c r="C42">
        <f>AVERAGE(Utente1!H47,Utente2!H47,Utente3!H47,Utente4!H47,Utente5!H47,Utente6!H47)</f>
        <v>4.166666666666667</v>
      </c>
      <c r="D42" t="s">
        <v>103</v>
      </c>
    </row>
    <row r="43" spans="1:5" ht="22.05" customHeight="1" thickBot="1" x14ac:dyDescent="0.35">
      <c r="A43" s="27"/>
      <c r="C43" s="28">
        <f>AVERAGE(C41:C42)</f>
        <v>4.0833333333333339</v>
      </c>
      <c r="D43" t="s">
        <v>104</v>
      </c>
      <c r="E43" s="18" t="s">
        <v>30</v>
      </c>
    </row>
    <row r="44" spans="1:5" ht="22.05" customHeight="1" thickBot="1" x14ac:dyDescent="0.35">
      <c r="A44" s="18" t="s">
        <v>73</v>
      </c>
      <c r="B44" s="16" t="s">
        <v>145</v>
      </c>
      <c r="C44">
        <f>AVERAGE(Utente1!H49,Utente2!H49,Utente3!H49,Utente4!H49,Utente5!H49,Utente6!H49)</f>
        <v>4.333333333333333</v>
      </c>
      <c r="D44" t="s">
        <v>103</v>
      </c>
    </row>
    <row r="45" spans="1:5" ht="22.05" customHeight="1" thickBot="1" x14ac:dyDescent="0.35">
      <c r="A45" s="27"/>
      <c r="C45" s="28">
        <f>AVERAGE(C44)</f>
        <v>4.333333333333333</v>
      </c>
      <c r="D45" t="s">
        <v>104</v>
      </c>
      <c r="E45" s="18" t="s">
        <v>47</v>
      </c>
    </row>
    <row r="46" spans="1:5" ht="22.05" customHeight="1" thickBot="1" x14ac:dyDescent="0.35">
      <c r="A46" s="18" t="s">
        <v>74</v>
      </c>
      <c r="B46" s="16" t="s">
        <v>146</v>
      </c>
      <c r="C46">
        <f>AVERAGE(Utente1!H52,Utente2!H52,Utente3!H52,Utente4!H52,Utente5!H52,Utente6!H52)</f>
        <v>4.333333333333333</v>
      </c>
      <c r="D46" t="s">
        <v>103</v>
      </c>
    </row>
    <row r="47" spans="1:5" ht="22.05" customHeight="1" thickBot="1" x14ac:dyDescent="0.35">
      <c r="A47" s="18" t="s">
        <v>75</v>
      </c>
      <c r="B47" s="16" t="s">
        <v>147</v>
      </c>
      <c r="C47">
        <f>AVERAGE(Utente1!H53,Utente2!H53,Utente3!H53,Utente4!H53,Utente5!H53,Utente6!H53)</f>
        <v>3.6666666666666665</v>
      </c>
      <c r="D47" t="s">
        <v>103</v>
      </c>
    </row>
    <row r="48" spans="1:5" ht="22.05" customHeight="1" thickBot="1" x14ac:dyDescent="0.35">
      <c r="A48" s="27"/>
      <c r="C48" s="28">
        <f>AVERAGE(C46:C47)</f>
        <v>4</v>
      </c>
      <c r="D48" t="s">
        <v>104</v>
      </c>
      <c r="E48" s="18" t="s">
        <v>30</v>
      </c>
    </row>
    <row r="49" spans="1:5" ht="22.05" customHeight="1" thickBot="1" x14ac:dyDescent="0.35">
      <c r="A49" s="18" t="s">
        <v>76</v>
      </c>
      <c r="B49" s="16" t="s">
        <v>148</v>
      </c>
      <c r="C49">
        <f>AVERAGE(Utente1!H55,Utente2!H55,Utente3!H55,Utente4!H55,Utente5!H55,Utente6!H55)</f>
        <v>2.1666666666666665</v>
      </c>
      <c r="D49" t="s">
        <v>103</v>
      </c>
    </row>
    <row r="50" spans="1:5" ht="22.05" customHeight="1" thickBot="1" x14ac:dyDescent="0.35">
      <c r="A50" s="27"/>
      <c r="C50" s="28">
        <f>AVERAGE(C49)</f>
        <v>2.1666666666666665</v>
      </c>
      <c r="D50" t="s">
        <v>104</v>
      </c>
      <c r="E50" s="18" t="s">
        <v>41</v>
      </c>
    </row>
    <row r="51" spans="1:5" ht="22.05" customHeight="1" thickBot="1" x14ac:dyDescent="0.35">
      <c r="A51" s="18" t="s">
        <v>77</v>
      </c>
      <c r="B51" s="16" t="s">
        <v>151</v>
      </c>
      <c r="C51">
        <f>AVERAGE(Utente1!H57,Utente2!H57,Utente3!H57,Utente4!H57,Utente5!H57,Utente6!H57)</f>
        <v>3.6</v>
      </c>
      <c r="D51" t="s">
        <v>103</v>
      </c>
    </row>
    <row r="52" spans="1:5" ht="22.05" customHeight="1" thickBot="1" x14ac:dyDescent="0.35">
      <c r="A52" s="18" t="s">
        <v>78</v>
      </c>
      <c r="B52" s="16" t="s">
        <v>149</v>
      </c>
      <c r="C52">
        <f>AVERAGE(Utente1!H58,Utente2!H58,Utente3!H58,Utente4!H58,Utente5!H58,Utente6!H58)</f>
        <v>4.333333333333333</v>
      </c>
      <c r="D52" t="s">
        <v>103</v>
      </c>
    </row>
    <row r="53" spans="1:5" ht="22.05" customHeight="1" thickBot="1" x14ac:dyDescent="0.35">
      <c r="A53" s="27"/>
      <c r="C53" s="28">
        <f>AVERAGE(C51:C52)</f>
        <v>3.9666666666666668</v>
      </c>
      <c r="D53" t="s">
        <v>104</v>
      </c>
      <c r="E53" s="18" t="s">
        <v>58</v>
      </c>
    </row>
    <row r="54" spans="1:5" ht="22.05" customHeight="1" thickBot="1" x14ac:dyDescent="0.35">
      <c r="A54" s="18" t="s">
        <v>79</v>
      </c>
      <c r="B54" s="16" t="s">
        <v>150</v>
      </c>
      <c r="C54">
        <f>AVERAGE(Utente1!H60,Utente2!H60,Utente3!H60,Utente4!H60,Utente5!H60,Utente6!H60)</f>
        <v>4</v>
      </c>
      <c r="D54" t="s">
        <v>103</v>
      </c>
    </row>
    <row r="55" spans="1:5" ht="22.05" customHeight="1" thickBot="1" x14ac:dyDescent="0.35">
      <c r="A55" s="27"/>
      <c r="C55" s="28">
        <f>AVERAGE(C54)</f>
        <v>4</v>
      </c>
      <c r="D55" t="s">
        <v>104</v>
      </c>
      <c r="E55" s="18" t="s">
        <v>47</v>
      </c>
    </row>
    <row r="56" spans="1:5" ht="22.05" customHeight="1" thickBot="1" x14ac:dyDescent="0.35">
      <c r="A56" s="18" t="s">
        <v>84</v>
      </c>
      <c r="B56" s="26" t="s">
        <v>162</v>
      </c>
      <c r="C56">
        <f>AVERAGE(Utente7!H18,Utente8!H18,Utente9!H18,Utente4!H18,Utente10!H18)</f>
        <v>4.2</v>
      </c>
      <c r="D56" t="s">
        <v>103</v>
      </c>
    </row>
    <row r="57" spans="1:5" ht="22.05" customHeight="1" thickBot="1" x14ac:dyDescent="0.35">
      <c r="A57" s="18" t="s">
        <v>85</v>
      </c>
      <c r="B57" s="26" t="s">
        <v>163</v>
      </c>
      <c r="C57">
        <f>AVERAGE(Utente7!H19,Utente8!H19,Utente9!H19,Utente4!H19,Utente10!H19)</f>
        <v>4.8</v>
      </c>
      <c r="D57" t="s">
        <v>103</v>
      </c>
    </row>
    <row r="58" spans="1:5" ht="22.05" customHeight="1" thickBot="1" x14ac:dyDescent="0.35">
      <c r="A58" s="27"/>
      <c r="C58" s="28">
        <f>AVERAGE(C56:C57)</f>
        <v>4.5</v>
      </c>
      <c r="D58" t="s">
        <v>104</v>
      </c>
      <c r="E58" s="18" t="s">
        <v>30</v>
      </c>
    </row>
    <row r="59" spans="1:5" ht="22.05" customHeight="1" thickBot="1" x14ac:dyDescent="0.35">
      <c r="A59" s="18" t="s">
        <v>86</v>
      </c>
      <c r="B59" s="26" t="s">
        <v>164</v>
      </c>
      <c r="C59">
        <f>AVERAGE(Utente7!H21,Utente8!H21,Utente9!H21,Utente4!H21,Utente10!H21)</f>
        <v>4.75</v>
      </c>
      <c r="D59" t="s">
        <v>103</v>
      </c>
    </row>
    <row r="60" spans="1:5" ht="22.05" customHeight="1" thickBot="1" x14ac:dyDescent="0.35">
      <c r="A60" s="18" t="s">
        <v>165</v>
      </c>
      <c r="B60" s="26" t="s">
        <v>166</v>
      </c>
      <c r="C60">
        <f>AVERAGE(Utente7!H22,Utente8!H22,Utente9!H22,Utente4!H22,Utente10!H22)</f>
        <v>4.8</v>
      </c>
      <c r="D60" t="s">
        <v>103</v>
      </c>
    </row>
    <row r="61" spans="1:5" ht="22.05" customHeight="1" thickBot="1" x14ac:dyDescent="0.35">
      <c r="A61" s="27"/>
      <c r="C61" s="28">
        <f>AVERAGE(C59:C60)</f>
        <v>4.7750000000000004</v>
      </c>
      <c r="D61" t="s">
        <v>104</v>
      </c>
      <c r="E61" s="18" t="s">
        <v>41</v>
      </c>
    </row>
    <row r="62" spans="1:5" ht="22.05" customHeight="1" thickBot="1" x14ac:dyDescent="0.35">
      <c r="A62" s="18" t="s">
        <v>87</v>
      </c>
      <c r="B62" t="s">
        <v>88</v>
      </c>
      <c r="C62">
        <f>AVERAGE(Utente7!H24,Utente8!H24,Utente9!H24,Utente4!H24,Utente10!H24)</f>
        <v>4</v>
      </c>
      <c r="D62" t="s">
        <v>103</v>
      </c>
    </row>
    <row r="63" spans="1:5" ht="22.05" customHeight="1" thickBot="1" x14ac:dyDescent="0.35">
      <c r="A63" s="18" t="s">
        <v>89</v>
      </c>
      <c r="B63" t="s">
        <v>90</v>
      </c>
      <c r="C63">
        <f>AVERAGE(Utente7!H25,Utente8!H25,Utente9!H25,Utente4!H25,Utente10!H25)</f>
        <v>3.75</v>
      </c>
      <c r="D63" t="s">
        <v>103</v>
      </c>
    </row>
    <row r="64" spans="1:5" ht="22.05" customHeight="1" thickBot="1" x14ac:dyDescent="0.35">
      <c r="A64" s="18" t="s">
        <v>170</v>
      </c>
      <c r="B64" s="26" t="s">
        <v>168</v>
      </c>
      <c r="C64">
        <f>AVERAGE(Utente7!H26,Utente8!H26,Utente9!H26,Utente4!H26,Utente10!H26)</f>
        <v>3.25</v>
      </c>
      <c r="D64" t="s">
        <v>103</v>
      </c>
    </row>
    <row r="65" spans="1:5" ht="22.05" customHeight="1" thickBot="1" x14ac:dyDescent="0.35">
      <c r="A65" s="27"/>
      <c r="C65" s="28">
        <f>AVERAGE(C62:C64)</f>
        <v>3.6666666666666665</v>
      </c>
      <c r="D65" t="s">
        <v>104</v>
      </c>
      <c r="E65" s="18" t="s">
        <v>58</v>
      </c>
    </row>
    <row r="66" spans="1:5" ht="22.05" customHeight="1" thickBot="1" x14ac:dyDescent="0.35">
      <c r="A66" s="18" t="s">
        <v>91</v>
      </c>
      <c r="B66" s="26" t="s">
        <v>92</v>
      </c>
      <c r="C66">
        <f>AVERAGE(Utente7!H28,Utente8!H28,Utente9!H28,Utente4!H28,Utente10!H28)</f>
        <v>4.4000000000000004</v>
      </c>
      <c r="D66" t="s">
        <v>103</v>
      </c>
    </row>
    <row r="67" spans="1:5" ht="22.05" customHeight="1" thickBot="1" x14ac:dyDescent="0.35">
      <c r="A67" s="27"/>
      <c r="C67" s="28">
        <f>AVERAGE(C66)</f>
        <v>4.4000000000000004</v>
      </c>
      <c r="D67" t="s">
        <v>104</v>
      </c>
      <c r="E67" s="18" t="s">
        <v>47</v>
      </c>
    </row>
    <row r="68" spans="1:5" ht="22.05" customHeight="1" thickBot="1" x14ac:dyDescent="0.35">
      <c r="A68" s="18" t="s">
        <v>93</v>
      </c>
      <c r="B68" s="26" t="s">
        <v>173</v>
      </c>
      <c r="C68">
        <f>AVERAGE(Utente7!H31,Utente8!H31,Utente9!H31,Utente4!H31,Utente10!H31)</f>
        <v>4</v>
      </c>
      <c r="D68" t="s">
        <v>103</v>
      </c>
    </row>
    <row r="69" spans="1:5" ht="22.05" customHeight="1" thickBot="1" x14ac:dyDescent="0.35">
      <c r="A69" s="18" t="s">
        <v>94</v>
      </c>
      <c r="B69" s="26" t="s">
        <v>174</v>
      </c>
      <c r="C69">
        <f>AVERAGE(Utente7!H32,Utente8!H32,Utente9!H32,Utente4!H32,Utente10!H32)</f>
        <v>4.5</v>
      </c>
      <c r="D69" t="s">
        <v>103</v>
      </c>
    </row>
    <row r="70" spans="1:5" ht="22.05" customHeight="1" thickBot="1" x14ac:dyDescent="0.35">
      <c r="A70" s="18" t="s">
        <v>176</v>
      </c>
      <c r="B70" s="26" t="s">
        <v>177</v>
      </c>
      <c r="C70">
        <f>AVERAGE(Utente7!H33,Utente8!H33,Utente9!H33,Utente4!H33,Utente10!H33)</f>
        <v>3.6</v>
      </c>
      <c r="D70" t="s">
        <v>103</v>
      </c>
    </row>
    <row r="71" spans="1:5" ht="22.05" customHeight="1" thickBot="1" x14ac:dyDescent="0.35">
      <c r="A71" s="27"/>
      <c r="B71" s="26"/>
      <c r="C71" s="28">
        <f>AVERAGE(C68:C70)</f>
        <v>4.0333333333333332</v>
      </c>
      <c r="D71" t="s">
        <v>104</v>
      </c>
      <c r="E71" s="18" t="s">
        <v>30</v>
      </c>
    </row>
    <row r="72" spans="1:5" ht="22.05" customHeight="1" thickBot="1" x14ac:dyDescent="0.35">
      <c r="A72" s="18" t="s">
        <v>95</v>
      </c>
      <c r="B72" s="26" t="s">
        <v>175</v>
      </c>
      <c r="C72">
        <f>AVERAGE(Utente7!H35,Utente8!H35,Utente9!H35,Utente4!H35,Utente10!H35)</f>
        <v>4.5999999999999996</v>
      </c>
      <c r="D72" t="s">
        <v>103</v>
      </c>
    </row>
    <row r="73" spans="1:5" ht="22.05" customHeight="1" thickBot="1" x14ac:dyDescent="0.35">
      <c r="A73" s="27"/>
      <c r="C73" s="28">
        <f>AVERAGE(C72)</f>
        <v>4.5999999999999996</v>
      </c>
      <c r="D73" t="s">
        <v>104</v>
      </c>
      <c r="E73" s="18" t="s">
        <v>41</v>
      </c>
    </row>
    <row r="74" spans="1:5" ht="22.05" customHeight="1" thickBot="1" x14ac:dyDescent="0.35">
      <c r="A74" s="18" t="s">
        <v>96</v>
      </c>
      <c r="B74" s="26" t="s">
        <v>97</v>
      </c>
      <c r="C74">
        <f>AVERAGE(Utente7!H37,Utente8!H37,Utente9!H37,Utente4!H37,Utente10!H37)</f>
        <v>4</v>
      </c>
      <c r="D74" t="s">
        <v>103</v>
      </c>
    </row>
    <row r="75" spans="1:5" ht="22.05" customHeight="1" thickBot="1" x14ac:dyDescent="0.35">
      <c r="A75" s="18" t="s">
        <v>98</v>
      </c>
      <c r="B75" s="26" t="s">
        <v>99</v>
      </c>
      <c r="C75">
        <f>AVERAGE(Utente7!H38,Utente8!H38,Utente9!H38,Utente4!H38,Utente10!H38)</f>
        <v>3.8</v>
      </c>
      <c r="D75" t="s">
        <v>103</v>
      </c>
    </row>
    <row r="76" spans="1:5" ht="22.05" customHeight="1" thickBot="1" x14ac:dyDescent="0.35">
      <c r="A76" s="27"/>
      <c r="C76" s="28">
        <f>AVERAGE(C74:C75)</f>
        <v>3.9</v>
      </c>
      <c r="D76" t="s">
        <v>104</v>
      </c>
      <c r="E76" s="18" t="s">
        <v>58</v>
      </c>
    </row>
    <row r="77" spans="1:5" ht="22.05" customHeight="1" thickBot="1" x14ac:dyDescent="0.35">
      <c r="A77" s="18" t="s">
        <v>100</v>
      </c>
      <c r="B77" s="26" t="s">
        <v>178</v>
      </c>
      <c r="C77">
        <f>AVERAGE(Utente7!H40,Utente8!H40,Utente9!H40,Utente4!H40,Utente10!H40)</f>
        <v>4.5</v>
      </c>
      <c r="D77" t="s">
        <v>103</v>
      </c>
    </row>
    <row r="78" spans="1:5" ht="22.05" customHeight="1" thickBot="1" x14ac:dyDescent="0.35">
      <c r="A78" s="18" t="s">
        <v>101</v>
      </c>
      <c r="B78" s="26" t="s">
        <v>102</v>
      </c>
      <c r="C78">
        <f>AVERAGE(Utente7!H41,Utente8!H41,Utente9!H41,Utente4!H41,Utente10!H41)</f>
        <v>4.5999999999999996</v>
      </c>
      <c r="D78" t="s">
        <v>103</v>
      </c>
    </row>
    <row r="79" spans="1:5" ht="22.05" customHeight="1" thickBot="1" x14ac:dyDescent="0.35">
      <c r="A79" s="27"/>
      <c r="C79" s="28">
        <f>AVERAGE(C77:C78)</f>
        <v>4.55</v>
      </c>
      <c r="D79" t="s">
        <v>104</v>
      </c>
      <c r="E79" s="18" t="s">
        <v>47</v>
      </c>
    </row>
    <row r="80" spans="1:5" ht="22.05" customHeight="1" thickBot="1" x14ac:dyDescent="0.35">
      <c r="A80" s="18" t="s">
        <v>80</v>
      </c>
      <c r="B80" s="16" t="s">
        <v>152</v>
      </c>
      <c r="C80">
        <f>AVERAGE(Utente1!H63,Utente2!H63,Utente3!H63,Utente4!H63,Utente5!H63,Utente6!H63)</f>
        <v>4.333333333333333</v>
      </c>
      <c r="D80" t="s">
        <v>103</v>
      </c>
    </row>
    <row r="81" spans="1:5" ht="22.05" customHeight="1" thickBot="1" x14ac:dyDescent="0.35">
      <c r="A81" s="27"/>
      <c r="C81" s="28">
        <f>AVERAGE(C80)</f>
        <v>4.333333333333333</v>
      </c>
      <c r="D81" t="s">
        <v>104</v>
      </c>
      <c r="E81" s="18" t="s">
        <v>30</v>
      </c>
    </row>
    <row r="82" spans="1:5" ht="22.05" customHeight="1" thickBot="1" x14ac:dyDescent="0.35">
      <c r="A82" s="18" t="s">
        <v>81</v>
      </c>
      <c r="B82" s="16" t="s">
        <v>153</v>
      </c>
      <c r="C82">
        <f>AVERAGE(Utente1!H65,Utente2!H65,Utente3!H65,Utente4!H65,Utente5!H65,Utente6!H65)</f>
        <v>4.333333333333333</v>
      </c>
      <c r="D82" t="s">
        <v>103</v>
      </c>
    </row>
    <row r="83" spans="1:5" ht="22.05" customHeight="1" thickBot="1" x14ac:dyDescent="0.35">
      <c r="A83" s="27"/>
      <c r="C83" s="28">
        <f>AVERAGE(C82)</f>
        <v>4.333333333333333</v>
      </c>
      <c r="D83" t="s">
        <v>104</v>
      </c>
      <c r="E83" s="18" t="s">
        <v>41</v>
      </c>
    </row>
    <row r="84" spans="1:5" ht="22.05" customHeight="1" thickBot="1" x14ac:dyDescent="0.35">
      <c r="A84" s="18" t="s">
        <v>82</v>
      </c>
      <c r="B84" s="16" t="s">
        <v>154</v>
      </c>
      <c r="C84">
        <f>AVERAGE(Utente1!H67,Utente2!H67,Utente3!H67,Utente4!H67,Utente5!H67,Utente6!H67)</f>
        <v>3.8333333333333335</v>
      </c>
      <c r="D84" t="s">
        <v>103</v>
      </c>
    </row>
    <row r="85" spans="1:5" ht="22.05" customHeight="1" thickBot="1" x14ac:dyDescent="0.35">
      <c r="A85" s="27"/>
      <c r="B85" s="16"/>
      <c r="C85" s="28">
        <f>AVERAGE(C84)</f>
        <v>3.8333333333333335</v>
      </c>
      <c r="D85" t="s">
        <v>104</v>
      </c>
      <c r="E85" s="18" t="s">
        <v>58</v>
      </c>
    </row>
    <row r="86" spans="1:5" ht="22.05" customHeight="1" thickBot="1" x14ac:dyDescent="0.35">
      <c r="A86" s="18" t="s">
        <v>83</v>
      </c>
      <c r="B86" s="16" t="s">
        <v>155</v>
      </c>
      <c r="C86">
        <f>AVERAGE(Utente1!H69,Utente2!H69,Utente3!H69,Utente4!H69,Utente5!H69,Utente6!H69)</f>
        <v>2.1666666666666665</v>
      </c>
      <c r="D86" t="s">
        <v>103</v>
      </c>
    </row>
    <row r="87" spans="1:5" ht="21.6" thickBot="1" x14ac:dyDescent="0.35">
      <c r="A87" s="27"/>
      <c r="C87" s="28">
        <f>AVERAGE(C86)</f>
        <v>2.1666666666666665</v>
      </c>
      <c r="D87" t="s">
        <v>104</v>
      </c>
      <c r="E87" s="18" t="s">
        <v>47</v>
      </c>
    </row>
  </sheetData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tabSelected="1" workbookViewId="0">
      <selection activeCell="I14" sqref="I14"/>
    </sheetView>
  </sheetViews>
  <sheetFormatPr defaultColWidth="12.44140625" defaultRowHeight="14.4" x14ac:dyDescent="0.3"/>
  <cols>
    <col min="1" max="1" width="70.77734375" customWidth="1"/>
    <col min="2" max="26" width="9.6640625" customWidth="1"/>
  </cols>
  <sheetData>
    <row r="1" spans="1:5" ht="21" thickBot="1" x14ac:dyDescent="0.35">
      <c r="A1" s="29" t="s">
        <v>105</v>
      </c>
      <c r="B1" s="29" t="s">
        <v>106</v>
      </c>
      <c r="C1" s="29" t="s">
        <v>107</v>
      </c>
      <c r="D1" s="29" t="s">
        <v>108</v>
      </c>
      <c r="E1" s="29" t="s">
        <v>109</v>
      </c>
    </row>
    <row r="2" spans="1:5" ht="21.6" thickBot="1" x14ac:dyDescent="0.35">
      <c r="A2" s="30" t="s">
        <v>110</v>
      </c>
      <c r="B2" s="31">
        <f>MEDIE!C4</f>
        <v>3.75</v>
      </c>
      <c r="C2" s="31">
        <f>MEDIE!C6</f>
        <v>3.6666666666666665</v>
      </c>
      <c r="D2" s="32"/>
      <c r="E2" s="32"/>
    </row>
    <row r="3" spans="1:5" ht="21.6" customHeight="1" thickBot="1" x14ac:dyDescent="0.35">
      <c r="A3" s="33" t="s">
        <v>111</v>
      </c>
      <c r="B3" s="31">
        <f>MEDIE!C9</f>
        <v>4.2166666666666668</v>
      </c>
      <c r="C3" s="31">
        <f>MEDIE!C11</f>
        <v>4.666666666666667</v>
      </c>
      <c r="D3" s="31"/>
      <c r="E3" s="31">
        <f>MEDIE!C14</f>
        <v>4.166666666666667</v>
      </c>
    </row>
    <row r="4" spans="1:5" ht="21.6" thickBot="1" x14ac:dyDescent="0.35">
      <c r="A4" s="30" t="s">
        <v>112</v>
      </c>
      <c r="B4" s="31">
        <f>MEDIE!C19</f>
        <v>3.8000000000000003</v>
      </c>
      <c r="C4" s="31">
        <f>MEDIE!C21</f>
        <v>3.8333333333333335</v>
      </c>
      <c r="D4" s="31"/>
      <c r="E4" s="31">
        <f>MEDIE!C23</f>
        <v>3.5</v>
      </c>
    </row>
    <row r="5" spans="1:5" ht="21.6" thickBot="1" x14ac:dyDescent="0.35">
      <c r="A5" s="33" t="s">
        <v>113</v>
      </c>
      <c r="B5" s="31"/>
      <c r="C5" s="31">
        <f>MEDIE!C26</f>
        <v>4.4833333333333334</v>
      </c>
      <c r="D5" s="31">
        <f>MEDIE!C29</f>
        <v>3.5</v>
      </c>
      <c r="E5" s="31">
        <f>MEDIE!C33</f>
        <v>3.8333333333333335</v>
      </c>
    </row>
    <row r="6" spans="1:5" ht="21.6" thickBot="1" x14ac:dyDescent="0.35">
      <c r="A6" s="30" t="s">
        <v>114</v>
      </c>
      <c r="B6" s="31"/>
      <c r="C6" s="31">
        <f>MEDIE!C36</f>
        <v>4.25</v>
      </c>
      <c r="D6" s="31">
        <f>MEDIE!C40</f>
        <v>3.6666666666666665</v>
      </c>
      <c r="E6" s="31"/>
    </row>
    <row r="7" spans="1:5" ht="42.6" thickBot="1" x14ac:dyDescent="0.35">
      <c r="A7" s="33" t="s">
        <v>115</v>
      </c>
      <c r="B7" s="31">
        <f>MEDIE!C43</f>
        <v>4.0833333333333339</v>
      </c>
      <c r="C7" s="31"/>
      <c r="D7" s="31"/>
      <c r="E7" s="31">
        <f>MEDIE!C45</f>
        <v>4.333333333333333</v>
      </c>
    </row>
    <row r="8" spans="1:5" ht="21.6" thickBot="1" x14ac:dyDescent="0.35">
      <c r="A8" s="30" t="s">
        <v>116</v>
      </c>
      <c r="B8" s="31"/>
      <c r="C8" s="31">
        <v>3</v>
      </c>
      <c r="D8" s="34">
        <v>2.83</v>
      </c>
      <c r="E8" s="31">
        <v>4.5599999999999996</v>
      </c>
    </row>
    <row r="9" spans="1:5" ht="21.6" thickBot="1" x14ac:dyDescent="0.35">
      <c r="A9" s="33" t="s">
        <v>117</v>
      </c>
      <c r="B9" s="31">
        <f>MEDIE!C48</f>
        <v>4</v>
      </c>
      <c r="C9" s="34">
        <f>MEDIE!C50</f>
        <v>2.1666666666666665</v>
      </c>
      <c r="D9" s="31">
        <f>MEDIE!C53</f>
        <v>3.9666666666666668</v>
      </c>
      <c r="E9" s="31">
        <f>MEDIE!C55</f>
        <v>4</v>
      </c>
    </row>
    <row r="10" spans="1:5" ht="21.6" thickBot="1" x14ac:dyDescent="0.35">
      <c r="A10" s="30" t="s">
        <v>118</v>
      </c>
      <c r="B10" s="31">
        <f>MEDIE!C58</f>
        <v>4.5</v>
      </c>
      <c r="C10" s="31">
        <f>MEDIE!C61</f>
        <v>4.7750000000000004</v>
      </c>
      <c r="D10" s="31">
        <f>MEDIE!C65</f>
        <v>3.6666666666666665</v>
      </c>
      <c r="E10" s="31">
        <f>MEDIE!C67</f>
        <v>4.4000000000000004</v>
      </c>
    </row>
    <row r="11" spans="1:5" ht="21.6" thickBot="1" x14ac:dyDescent="0.35">
      <c r="A11" s="33" t="s">
        <v>119</v>
      </c>
      <c r="B11" s="31">
        <f>MEDIE!C71</f>
        <v>4.0333333333333332</v>
      </c>
      <c r="C11" s="31">
        <f>MEDIE!C73</f>
        <v>4.5999999999999996</v>
      </c>
      <c r="D11" s="31">
        <f>MEDIE!C76</f>
        <v>3.9</v>
      </c>
      <c r="E11" s="31">
        <f>MEDIE!C79</f>
        <v>4.55</v>
      </c>
    </row>
    <row r="12" spans="1:5" ht="21.6" thickBot="1" x14ac:dyDescent="0.35">
      <c r="A12" s="30" t="s">
        <v>120</v>
      </c>
      <c r="B12" s="31">
        <f>MEDIE!C81</f>
        <v>4.333333333333333</v>
      </c>
      <c r="C12" s="31">
        <f>MEDIE!C83</f>
        <v>4.333333333333333</v>
      </c>
      <c r="D12" s="31">
        <f>MEDIE!C85</f>
        <v>3.8333333333333335</v>
      </c>
      <c r="E12" s="34">
        <f>MEDIE!C87</f>
        <v>2.1666666666666665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BEHAVIOURABILITY</vt:lpstr>
      <vt:lpstr>Utente1</vt:lpstr>
      <vt:lpstr>Utente2</vt:lpstr>
      <vt:lpstr>Utente3</vt:lpstr>
      <vt:lpstr>Utente4</vt:lpstr>
      <vt:lpstr>Utente5</vt:lpstr>
      <vt:lpstr>Utente6</vt:lpstr>
      <vt:lpstr>Utente7</vt:lpstr>
      <vt:lpstr>Utente8</vt:lpstr>
      <vt:lpstr>Utente9</vt:lpstr>
      <vt:lpstr>Utente10</vt:lpstr>
      <vt:lpstr>MEDIE</vt:lpstr>
      <vt:lpstr>TabRisultati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EMANUELE IOVANE</cp:lastModifiedBy>
  <dcterms:created xsi:type="dcterms:W3CDTF">2025-07-03T13:00:43Z</dcterms:created>
  <dcterms:modified xsi:type="dcterms:W3CDTF">2025-07-03T17:03:12Z</dcterms:modified>
</cp:coreProperties>
</file>